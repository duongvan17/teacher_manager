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minhhoangluong/teacher_manager/"/>
    </mc:Choice>
  </mc:AlternateContent>
  <xr:revisionPtr revIDLastSave="0" documentId="13_ncr:1_{FB753D29-675A-4841-9603-D6E08DF473D9}" xr6:coauthVersionLast="47" xr6:coauthVersionMax="47" xr10:uidLastSave="{00000000-0000-0000-0000-000000000000}"/>
  <bookViews>
    <workbookView xWindow="5680" yWindow="3780" windowWidth="20360" windowHeight="17320" xr2:uid="{00000000-000D-0000-FFFF-FFFF00000000}"/>
  </bookViews>
  <sheets>
    <sheet name="QUÂN SỰ + QUỐC TẾ " sheetId="4" r:id="rId1"/>
  </sheets>
  <definedNames>
    <definedName name="_xlnm.Print_Titles" localSheetId="0">'QUÂN SỰ + QUỐC TẾ 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4" i="4" l="1"/>
  <c r="AK23" i="4"/>
  <c r="AK19" i="4"/>
  <c r="AK15" i="4"/>
  <c r="AK11" i="4"/>
  <c r="AK8" i="4"/>
  <c r="AK7" i="4"/>
  <c r="AK88" i="4"/>
  <c r="AK87" i="4"/>
  <c r="AK84" i="4"/>
  <c r="AK83" i="4"/>
  <c r="AK80" i="4"/>
  <c r="AK79" i="4"/>
  <c r="AK76" i="4"/>
  <c r="AK75" i="4"/>
  <c r="AK72" i="4"/>
  <c r="AK71" i="4"/>
  <c r="AK68" i="4"/>
  <c r="AK67" i="4"/>
  <c r="AK64" i="4"/>
  <c r="AK63" i="4"/>
  <c r="AK60" i="4"/>
  <c r="AK59" i="4"/>
  <c r="AK56" i="4"/>
  <c r="AK55" i="4"/>
  <c r="AK52" i="4"/>
  <c r="AK51" i="4"/>
  <c r="AK48" i="4"/>
  <c r="AK47" i="4"/>
  <c r="AK44" i="4"/>
  <c r="AK43" i="4"/>
  <c r="AK40" i="4"/>
  <c r="AK39" i="4"/>
  <c r="AK36" i="4"/>
  <c r="AK35" i="4"/>
  <c r="AK31" i="4"/>
  <c r="AK27" i="4"/>
  <c r="E4" i="4"/>
  <c r="E5" i="4" s="1"/>
  <c r="AK21" i="4" l="1"/>
  <c r="AK9" i="4"/>
  <c r="AK13" i="4"/>
  <c r="AK53" i="4"/>
  <c r="AK69" i="4"/>
  <c r="AK49" i="4"/>
  <c r="AK57" i="4"/>
  <c r="AK65" i="4"/>
  <c r="AK73" i="4"/>
  <c r="AK81" i="4"/>
  <c r="AK25" i="4"/>
  <c r="AK17" i="4"/>
  <c r="AK33" i="4"/>
  <c r="AK41" i="4"/>
  <c r="AK29" i="4"/>
  <c r="AK61" i="4"/>
  <c r="AK45" i="4"/>
  <c r="AK77" i="4"/>
  <c r="AK37" i="4"/>
  <c r="AK85" i="4"/>
  <c r="AK89" i="4"/>
  <c r="H93" i="4"/>
  <c r="H95" i="4" s="1"/>
  <c r="F4" i="4"/>
  <c r="G4" i="4" l="1"/>
  <c r="F5" i="4"/>
  <c r="G5" i="4" l="1"/>
  <c r="H4" i="4"/>
  <c r="H94" i="4"/>
  <c r="H5" i="4" l="1"/>
  <c r="I4" i="4"/>
  <c r="J4" i="4" l="1"/>
  <c r="I5" i="4"/>
  <c r="J5" i="4" l="1"/>
  <c r="K4" i="4"/>
  <c r="L4" i="4" l="1"/>
  <c r="K5" i="4"/>
  <c r="L5" i="4" l="1"/>
  <c r="M4" i="4"/>
  <c r="N4" i="4" l="1"/>
  <c r="M5" i="4"/>
  <c r="O4" i="4" l="1"/>
  <c r="N5" i="4"/>
  <c r="O5" i="4" l="1"/>
  <c r="P4" i="4"/>
  <c r="P5" i="4" l="1"/>
  <c r="Q4" i="4"/>
  <c r="Q5" i="4" l="1"/>
  <c r="R4" i="4"/>
  <c r="R5" i="4" l="1"/>
  <c r="S4" i="4"/>
  <c r="S5" i="4" l="1"/>
  <c r="T4" i="4"/>
  <c r="T5" i="4" l="1"/>
  <c r="U4" i="4"/>
  <c r="U5" i="4" l="1"/>
  <c r="V4" i="4"/>
  <c r="W4" i="4" l="1"/>
  <c r="V5" i="4"/>
  <c r="X4" i="4" l="1"/>
  <c r="W5" i="4"/>
  <c r="Y4" i="4" l="1"/>
  <c r="X5" i="4"/>
  <c r="Z4" i="4" l="1"/>
  <c r="Y5" i="4"/>
  <c r="AA4" i="4" l="1"/>
  <c r="Z5" i="4"/>
  <c r="AB4" i="4" l="1"/>
  <c r="AA5" i="4"/>
  <c r="AB5" i="4" l="1"/>
  <c r="AC4" i="4"/>
  <c r="AC5" i="4" l="1"/>
  <c r="AD4" i="4"/>
  <c r="AD5" i="4" l="1"/>
  <c r="AE4" i="4"/>
  <c r="AE5" i="4" l="1"/>
  <c r="AF4" i="4"/>
  <c r="AF5" i="4" l="1"/>
  <c r="AG4" i="4"/>
  <c r="AH4" i="4" l="1"/>
  <c r="AG5" i="4"/>
  <c r="AH5" i="4" l="1"/>
  <c r="AI4" i="4"/>
  <c r="AI5" i="4" s="1"/>
</calcChain>
</file>

<file path=xl/sharedStrings.xml><?xml version="1.0" encoding="utf-8"?>
<sst xmlns="http://schemas.openxmlformats.org/spreadsheetml/2006/main" count="286" uniqueCount="99">
  <si>
    <t>HỌ VÀ TÊN</t>
  </si>
  <si>
    <t>Tháng</t>
  </si>
  <si>
    <t>Năm</t>
  </si>
  <si>
    <t>TT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</si>
  <si>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</si>
  <si>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</si>
  <si>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</si>
  <si>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</si>
  <si>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</si>
  <si>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</si>
  <si>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</si>
  <si>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</si>
  <si>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</si>
  <si>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17</t>
  </si>
  <si>
    <t>MÔN HỌC</t>
  </si>
  <si>
    <t>1 - 2</t>
  </si>
  <si>
    <t>3 - 4</t>
  </si>
  <si>
    <t>5 - 6</t>
  </si>
  <si>
    <t>CỘNG</t>
  </si>
  <si>
    <t xml:space="preserve"> Ngày
  Thứ
Cặp
tiết</t>
  </si>
  <si>
    <t>SÁNG</t>
  </si>
  <si>
    <t>CHIỂU</t>
  </si>
  <si>
    <t>+</t>
  </si>
  <si>
    <t>KẾ HOẠCH PHÂN CÔNG GIẢNG</t>
  </si>
  <si>
    <t>KHOA: QUÂN SỰ CHUNG</t>
  </si>
  <si>
    <t>THỐNG KÊ TIẾT GIẢNG</t>
  </si>
  <si>
    <t>CÔNG AN:</t>
  </si>
  <si>
    <t>QUÂN SỰ+ QUỐC TẾ:</t>
  </si>
  <si>
    <t>TỔNG:</t>
  </si>
  <si>
    <t>7 - 8</t>
  </si>
  <si>
    <t>BC</t>
  </si>
  <si>
    <t>ĐN</t>
  </si>
  <si>
    <t>Nguyễn Duy Hiển</t>
  </si>
  <si>
    <t>Nguyễn Văn Học</t>
  </si>
  <si>
    <t>Tô Mạnh Hùng</t>
  </si>
  <si>
    <t>Đặng Trần Quyền</t>
  </si>
  <si>
    <t>Phan Văn Tâm</t>
  </si>
  <si>
    <t>Đỗ Xuân Trung</t>
  </si>
  <si>
    <t>Nguyễn Văn Hoan</t>
  </si>
  <si>
    <t>Ghi chú</t>
  </si>
  <si>
    <t>Bùi  Ngọc Duy</t>
  </si>
  <si>
    <t>Vương Khả Thanh</t>
  </si>
  <si>
    <t>ĐH</t>
  </si>
  <si>
    <t xml:space="preserve">QS: 
</t>
  </si>
  <si>
    <t>ĐỐI TƯỢNG: QS + QT + SQDB</t>
  </si>
  <si>
    <t>7 - 9</t>
  </si>
  <si>
    <t>KB</t>
  </si>
  <si>
    <t xml:space="preserve">QS: 8
</t>
  </si>
  <si>
    <t>BC5 
7,8/4</t>
  </si>
  <si>
    <t>BC6 
8/4</t>
  </si>
  <si>
    <t>BC7 
8/4</t>
  </si>
  <si>
    <t>BC5 
3,4/3</t>
  </si>
  <si>
    <t>BC10
5,6/4</t>
  </si>
  <si>
    <t>BC6
6/4</t>
  </si>
  <si>
    <t>BC7
6/4</t>
  </si>
  <si>
    <t>BC10
7,8/4</t>
  </si>
  <si>
    <t>BC ô
1,2/3</t>
  </si>
  <si>
    <t xml:space="preserve"> ĐH: 22+AM9+I10:AE13</t>
  </si>
  <si>
    <t>BC 5
5,6/4</t>
  </si>
  <si>
    <t>BC 4
3,4/3</t>
  </si>
  <si>
    <t>BC 5
5/4</t>
  </si>
  <si>
    <t>BC 6
5/4</t>
  </si>
  <si>
    <t>BC 7
5/4</t>
  </si>
  <si>
    <t>BC 8
5/4</t>
  </si>
  <si>
    <t>BC 9
1/3</t>
  </si>
  <si>
    <t>BC 5
6/4</t>
  </si>
  <si>
    <t>BC 6
3,4/3</t>
  </si>
  <si>
    <t>BC 11
5/4</t>
  </si>
  <si>
    <t>BC 7
3/3</t>
  </si>
  <si>
    <t>BC 9
2/3</t>
  </si>
  <si>
    <t>BC 9
5/4</t>
  </si>
  <si>
    <t>BC 12
5/4</t>
  </si>
  <si>
    <t>BC 8
6/4</t>
  </si>
  <si>
    <t>BC 10
3,4/3</t>
  </si>
  <si>
    <t>BC 11
3,4/3</t>
  </si>
  <si>
    <t xml:space="preserve">
QS: 60</t>
  </si>
  <si>
    <t>BC 10
1,2/3</t>
  </si>
  <si>
    <t>BC 11
1,2/3</t>
  </si>
  <si>
    <t>TC 2
C18L18</t>
  </si>
  <si>
    <t>BC 12
1,2/3</t>
  </si>
  <si>
    <t>BC 6
7/4</t>
  </si>
  <si>
    <t>BC 7
7/4</t>
  </si>
  <si>
    <t>BC 13
1/3</t>
  </si>
  <si>
    <t>TC 3
C18L18</t>
  </si>
  <si>
    <t>BC 8
7,8/4</t>
  </si>
  <si>
    <t>BC 7
4/3</t>
  </si>
  <si>
    <t>BC 13
2/1</t>
  </si>
  <si>
    <t>BC 13
2/3</t>
  </si>
  <si>
    <t>TC Ô
C18L18</t>
  </si>
  <si>
    <t>BC 14
1,2/3</t>
  </si>
  <si>
    <t>BC 13
5/4</t>
  </si>
  <si>
    <t xml:space="preserve">QS+ QT: 80
</t>
  </si>
  <si>
    <t>BC 8
3/3</t>
  </si>
  <si>
    <t>BC 8
4/3</t>
  </si>
  <si>
    <t>BC 8
3,4/3</t>
  </si>
  <si>
    <t xml:space="preserve"> ĐH: 8
</t>
  </si>
  <si>
    <t xml:space="preserve">QS: 0 
</t>
  </si>
  <si>
    <t xml:space="preserve">QS: 0
</t>
  </si>
  <si>
    <t xml:space="preserve">QS: 22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</si>
</sst>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vertAlign val="superscript"/>
      <sz val="10"/>
      <name val="Times New Roman"/>
      <family val="1"/>
    </font>
    <font>
      <vertAlign val="superscript"/>
      <sz val="10"/>
      <color rgb="FF9900CC"/>
      <name val="Times New Roman"/>
      <family val="1"/>
    </font>
    <font>
      <sz val="10"/>
      <color rgb="FF9900CC"/>
      <name val="Times New Roman"/>
      <family val="1"/>
    </font>
    <font>
      <sz val="10"/>
      <name val="Times New Roman"/>
      <family val="1"/>
    </font>
    <font>
      <b/>
      <vertAlign val="superscript"/>
      <sz val="10"/>
      <name val="Times New Roman"/>
      <family val="1"/>
    </font>
    <font>
      <b/>
      <vertAlign val="superscript"/>
      <sz val="10"/>
      <color rgb="FFFF000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49" fontId="2" fillId="0" borderId="3" xfId="0" quotePrefix="1" applyNumberFormat="1" applyFont="1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/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/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/>
    <xf numFmtId="0" fontId="8" fillId="0" borderId="4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" fillId="0" borderId="4" xfId="0" quotePrefix="1" applyFont="1" applyBorder="1" applyAlignment="1">
      <alignment horizontal="center" vertical="center"/>
    </xf>
    <xf numFmtId="0" fontId="1" fillId="0" borderId="9" xfId="0" applyFont="1" applyBorder="1"/>
    <xf numFmtId="16" fontId="7" fillId="0" borderId="9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4" xfId="0" applyFont="1" applyBorder="1" applyAlignment="1" applyProtection="1">
      <alignment horizontal="center" vertical="center" wrapText="1"/>
      <protection hidden="1"/>
    </xf>
    <xf numFmtId="0" fontId="11" fillId="0" borderId="4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 applyProtection="1">
      <alignment horizontal="center" vertical="center" wrapText="1"/>
      <protection hidden="1"/>
    </xf>
    <xf numFmtId="0" fontId="4" fillId="0" borderId="4" xfId="0" quotePrefix="1" applyFont="1" applyBorder="1" applyAlignment="1">
      <alignment horizontal="center" vertical="center"/>
    </xf>
    <xf numFmtId="0" fontId="1" fillId="0" borderId="1" xfId="0" applyFont="1" applyBorder="1"/>
    <xf numFmtId="0" fontId="15" fillId="0" borderId="4" xfId="0" applyFont="1" applyBorder="1" applyAlignment="1" applyProtection="1">
      <alignment horizontal="center" vertical="center" wrapText="1"/>
      <protection hidden="1"/>
    </xf>
    <xf numFmtId="49" fontId="16" fillId="2" borderId="5" xfId="0" applyNumberFormat="1" applyFont="1" applyFill="1" applyBorder="1" applyAlignment="1">
      <alignment horizontal="center" vertical="center"/>
    </xf>
    <xf numFmtId="49" fontId="6" fillId="0" borderId="0" xfId="0" applyNumberFormat="1" applyFont="1"/>
    <xf numFmtId="49" fontId="13" fillId="0" borderId="5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 applyProtection="1">
      <alignment horizontal="center" vertical="center" wrapText="1"/>
      <protection hidden="1"/>
    </xf>
    <xf numFmtId="0" fontId="10" fillId="0" borderId="8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2" fillId="0" borderId="6" xfId="0" quotePrefix="1" applyNumberFormat="1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2" fillId="0" borderId="6" xfId="0" quotePrefix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15" fillId="0" borderId="3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/>
    <xf numFmtId="0" fontId="10" fillId="0" borderId="3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14" fillId="0" borderId="5" xfId="0" applyFont="1" applyBorder="1" applyAlignment="1" applyProtection="1">
      <alignment horizontal="center" vertical="center" wrapText="1"/>
      <protection hidden="1"/>
    </xf>
    <xf numFmtId="0" fontId="11" fillId="0" borderId="5" xfId="0" applyFont="1" applyBorder="1" applyAlignment="1" applyProtection="1">
      <alignment horizontal="center" vertical="center" wrapText="1"/>
      <protection hidden="1"/>
    </xf>
    <xf numFmtId="0" fontId="13" fillId="0" borderId="5" xfId="0" applyFont="1" applyBorder="1"/>
    <xf numFmtId="0" fontId="13" fillId="0" borderId="5" xfId="0" applyFont="1" applyBorder="1" applyAlignment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  <protection hidden="1"/>
    </xf>
    <xf numFmtId="0" fontId="13" fillId="0" borderId="5" xfId="0" applyFont="1" applyBorder="1" applyAlignment="1">
      <alignment horizontal="center" vertical="center"/>
    </xf>
    <xf numFmtId="0" fontId="15" fillId="0" borderId="6" xfId="0" applyFont="1" applyBorder="1" applyAlignment="1" applyProtection="1">
      <alignment horizontal="center" vertical="center" wrapText="1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" fillId="0" borderId="17" xfId="0" applyFont="1" applyBorder="1"/>
    <xf numFmtId="0" fontId="15" fillId="0" borderId="5" xfId="0" applyFont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textRotation="90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/>
    </xf>
    <xf numFmtId="164" fontId="5" fillId="0" borderId="10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textRotation="90"/>
    </xf>
    <xf numFmtId="0" fontId="5" fillId="0" borderId="15" xfId="0" quotePrefix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5" fillId="0" borderId="14" xfId="0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1405"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3" tint="0.79998168889431442"/>
        </patternFill>
      </fill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colors>
    <mruColors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22412</xdr:colOff>
      <xdr:row>89</xdr:row>
      <xdr:rowOff>168088</xdr:rowOff>
    </xdr:from>
    <xdr:to>
      <xdr:col>37</xdr:col>
      <xdr:colOff>0</xdr:colOff>
      <xdr:row>98</xdr:row>
      <xdr:rowOff>149087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065572" y="31874908"/>
          <a:ext cx="3315148" cy="13678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300" b="1">
              <a:latin typeface="Times New Roman" panose="02020603050405020304" pitchFamily="18" charset="0"/>
              <a:cs typeface="Times New Roman" panose="02020603050405020304" pitchFamily="18" charset="0"/>
            </a:rPr>
            <a:t>PHỤ</a:t>
          </a:r>
          <a:r>
            <a:rPr lang="en-US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TRÁCH KHOA</a:t>
          </a:r>
        </a:p>
        <a:p>
          <a:pPr algn="ctr"/>
          <a:endParaRPr lang="en-US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300" b="1">
              <a:latin typeface="Times New Roman" panose="02020603050405020304" pitchFamily="18" charset="0"/>
              <a:cs typeface="Times New Roman" panose="02020603050405020304" pitchFamily="18" charset="0"/>
            </a:rPr>
            <a:t>Thượng</a:t>
          </a:r>
          <a:r>
            <a:rPr lang="en-US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tá Nguyễn Hữu Quân</a:t>
          </a:r>
          <a:endParaRPr lang="en-US" sz="13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3"/>
  <sheetViews>
    <sheetView tabSelected="1" zoomScale="125" zoomScaleNormal="89" zoomScalePageLayoutView="1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J20" sqref="J20"/>
    </sheetView>
  </sheetViews>
  <sheetFormatPr baseColWidth="10" defaultColWidth="9.1640625" defaultRowHeight="16" x14ac:dyDescent="0.2"/>
  <cols>
    <col min="1" max="1" width="3.6640625" style="40" customWidth="1"/>
    <col min="2" max="2" width="4.6640625" style="40" customWidth="1"/>
    <col min="3" max="3" width="4.6640625" style="41" customWidth="1"/>
    <col min="4" max="4" width="5.5" style="3" customWidth="1"/>
    <col min="5" max="35" width="5.33203125" style="1" customWidth="1"/>
    <col min="36" max="37" width="5.6640625" style="18" customWidth="1"/>
    <col min="38" max="38" width="10.1640625" style="1" bestFit="1" customWidth="1"/>
    <col min="39" max="16384" width="9.1640625" style="1"/>
  </cols>
  <sheetData>
    <row r="1" spans="1:40" ht="26.25" customHeight="1" x14ac:dyDescent="0.2">
      <c r="O1" s="98" t="s">
        <v>23</v>
      </c>
      <c r="P1" s="98"/>
      <c r="Q1" s="98"/>
      <c r="R1" s="98"/>
      <c r="S1" s="98"/>
      <c r="T1" s="98"/>
      <c r="U1" s="98"/>
      <c r="V1" s="98"/>
      <c r="W1" s="98"/>
      <c r="X1" s="98"/>
      <c r="AE1" s="98" t="s">
        <v>24</v>
      </c>
      <c r="AF1" s="98"/>
      <c r="AG1" s="98"/>
      <c r="AH1" s="98"/>
      <c r="AI1" s="98"/>
      <c r="AJ1" s="98"/>
      <c r="AK1" s="98"/>
    </row>
    <row r="2" spans="1:40" x14ac:dyDescent="0.2">
      <c r="Q2" s="99" t="s">
        <v>1</v>
      </c>
      <c r="R2" s="99"/>
      <c r="S2" s="42">
        <v>4</v>
      </c>
      <c r="T2" s="42" t="s">
        <v>2</v>
      </c>
      <c r="U2" s="99">
        <v>2026</v>
      </c>
      <c r="V2" s="99"/>
      <c r="AE2" s="100" t="s">
        <v>44</v>
      </c>
      <c r="AF2" s="101"/>
      <c r="AG2" s="101"/>
      <c r="AH2" s="101"/>
      <c r="AI2" s="101"/>
      <c r="AJ2" s="101"/>
      <c r="AK2" s="101"/>
    </row>
    <row r="4" spans="1:40" ht="32.25" customHeight="1" x14ac:dyDescent="0.2">
      <c r="A4" s="89" t="s">
        <v>3</v>
      </c>
      <c r="B4" s="90" t="s">
        <v>0</v>
      </c>
      <c r="C4" s="91" t="s">
        <v>14</v>
      </c>
      <c r="D4" s="92" t="s">
        <v>19</v>
      </c>
      <c r="E4" s="13">
        <f>DATE($U$2,$S$2,1)</f>
        <v>46113</v>
      </c>
      <c r="F4" s="13">
        <f>E4+1</f>
        <v>46114</v>
      </c>
      <c r="G4" s="13">
        <f t="shared" ref="G4:AF4" si="0">F4+1</f>
        <v>46115</v>
      </c>
      <c r="H4" s="13">
        <f t="shared" si="0"/>
        <v>46116</v>
      </c>
      <c r="I4" s="13">
        <f t="shared" si="0"/>
        <v>46117</v>
      </c>
      <c r="J4" s="13">
        <f t="shared" si="0"/>
        <v>46118</v>
      </c>
      <c r="K4" s="13">
        <f t="shared" si="0"/>
        <v>46119</v>
      </c>
      <c r="L4" s="13">
        <f t="shared" si="0"/>
        <v>46120</v>
      </c>
      <c r="M4" s="13">
        <f t="shared" si="0"/>
        <v>46121</v>
      </c>
      <c r="N4" s="13">
        <f t="shared" si="0"/>
        <v>46122</v>
      </c>
      <c r="O4" s="13">
        <f t="shared" si="0"/>
        <v>46123</v>
      </c>
      <c r="P4" s="13">
        <f t="shared" si="0"/>
        <v>46124</v>
      </c>
      <c r="Q4" s="13">
        <f t="shared" si="0"/>
        <v>46125</v>
      </c>
      <c r="R4" s="13">
        <f t="shared" si="0"/>
        <v>46126</v>
      </c>
      <c r="S4" s="13">
        <f t="shared" si="0"/>
        <v>46127</v>
      </c>
      <c r="T4" s="13">
        <f t="shared" si="0"/>
        <v>46128</v>
      </c>
      <c r="U4" s="13">
        <f t="shared" si="0"/>
        <v>46129</v>
      </c>
      <c r="V4" s="13">
        <f t="shared" si="0"/>
        <v>46130</v>
      </c>
      <c r="W4" s="13">
        <f t="shared" si="0"/>
        <v>46131</v>
      </c>
      <c r="X4" s="13">
        <f t="shared" si="0"/>
        <v>46132</v>
      </c>
      <c r="Y4" s="13">
        <f t="shared" si="0"/>
        <v>46133</v>
      </c>
      <c r="Z4" s="13">
        <f t="shared" si="0"/>
        <v>46134</v>
      </c>
      <c r="AA4" s="13">
        <f t="shared" si="0"/>
        <v>46135</v>
      </c>
      <c r="AB4" s="13">
        <f t="shared" si="0"/>
        <v>46136</v>
      </c>
      <c r="AC4" s="13">
        <f>AB4+1</f>
        <v>46137</v>
      </c>
      <c r="AD4" s="13">
        <f t="shared" si="0"/>
        <v>46138</v>
      </c>
      <c r="AE4" s="13">
        <f t="shared" si="0"/>
        <v>46139</v>
      </c>
      <c r="AF4" s="13">
        <f t="shared" si="0"/>
        <v>46140</v>
      </c>
      <c r="AG4" s="13">
        <f>IF(AF4="","",IF(DAY(AF4+1)=1,"",AF4+1))</f>
        <v>46141</v>
      </c>
      <c r="AH4" s="13">
        <f t="shared" ref="AH4:AI4" si="1">IF(AG4="","",IF(DAY(AG4+1)=1,"",AG4+1))</f>
        <v>46142</v>
      </c>
      <c r="AI4" s="13" t="str">
        <f t="shared" si="1"/>
        <v/>
      </c>
      <c r="AJ4" s="94" t="s">
        <v>18</v>
      </c>
      <c r="AK4" s="95"/>
      <c r="AL4" s="113" t="s">
        <v>39</v>
      </c>
      <c r="AN4" s="2"/>
    </row>
    <row r="5" spans="1:40" ht="32.25" customHeight="1" x14ac:dyDescent="0.2">
      <c r="A5" s="89"/>
      <c r="B5" s="90"/>
      <c r="C5" s="91"/>
      <c r="D5" s="93"/>
      <c r="E5" s="14" t="str">
        <f>CHOOSE(WEEKDAY(E4),"CN","H","B","T","N","S","By")</f>
        <v>T</v>
      </c>
      <c r="F5" s="14" t="str">
        <f>CHOOSE(WEEKDAY(F4),"CN","H","B","T","N","S","By")</f>
        <v>N</v>
      </c>
      <c r="G5" s="14" t="str">
        <f t="shared" ref="G5:AF5" si="2">CHOOSE(WEEKDAY(G4),"CN","H","B","T","N","S","By")</f>
        <v>S</v>
      </c>
      <c r="H5" s="14" t="str">
        <f t="shared" si="2"/>
        <v>By</v>
      </c>
      <c r="I5" s="14" t="str">
        <f t="shared" si="2"/>
        <v>CN</v>
      </c>
      <c r="J5" s="14" t="str">
        <f t="shared" si="2"/>
        <v>H</v>
      </c>
      <c r="K5" s="14" t="str">
        <f t="shared" si="2"/>
        <v>B</v>
      </c>
      <c r="L5" s="14" t="str">
        <f t="shared" si="2"/>
        <v>T</v>
      </c>
      <c r="M5" s="14" t="str">
        <f t="shared" si="2"/>
        <v>N</v>
      </c>
      <c r="N5" s="14" t="str">
        <f t="shared" si="2"/>
        <v>S</v>
      </c>
      <c r="O5" s="14" t="str">
        <f t="shared" si="2"/>
        <v>By</v>
      </c>
      <c r="P5" s="14" t="str">
        <f t="shared" si="2"/>
        <v>CN</v>
      </c>
      <c r="Q5" s="14" t="str">
        <f t="shared" si="2"/>
        <v>H</v>
      </c>
      <c r="R5" s="14" t="str">
        <f t="shared" si="2"/>
        <v>B</v>
      </c>
      <c r="S5" s="14" t="str">
        <f t="shared" si="2"/>
        <v>T</v>
      </c>
      <c r="T5" s="14" t="str">
        <f t="shared" si="2"/>
        <v>N</v>
      </c>
      <c r="U5" s="14" t="str">
        <f t="shared" si="2"/>
        <v>S</v>
      </c>
      <c r="V5" s="14" t="str">
        <f t="shared" si="2"/>
        <v>By</v>
      </c>
      <c r="W5" s="14" t="str">
        <f t="shared" si="2"/>
        <v>CN</v>
      </c>
      <c r="X5" s="14" t="str">
        <f t="shared" si="2"/>
        <v>H</v>
      </c>
      <c r="Y5" s="14" t="str">
        <f t="shared" si="2"/>
        <v>B</v>
      </c>
      <c r="Z5" s="14" t="str">
        <f t="shared" si="2"/>
        <v>T</v>
      </c>
      <c r="AA5" s="14" t="str">
        <f t="shared" si="2"/>
        <v>N</v>
      </c>
      <c r="AB5" s="14" t="str">
        <f t="shared" si="2"/>
        <v>S</v>
      </c>
      <c r="AC5" s="14" t="str">
        <f t="shared" si="2"/>
        <v>By</v>
      </c>
      <c r="AD5" s="14" t="str">
        <f t="shared" si="2"/>
        <v>CN</v>
      </c>
      <c r="AE5" s="14" t="str">
        <f t="shared" si="2"/>
        <v>H</v>
      </c>
      <c r="AF5" s="14" t="str">
        <f t="shared" si="2"/>
        <v>B</v>
      </c>
      <c r="AG5" s="14" t="str">
        <f>IF(AG4="","",CHOOSE(WEEKDAY(AG4),"CN","H","B","T","N","S","By"))</f>
        <v>T</v>
      </c>
      <c r="AH5" s="14" t="str">
        <f t="shared" ref="AH5:AI5" si="3">IF(AH4="","",CHOOSE(WEEKDAY(AH4),"CN","H","B","T","N","S","By"))</f>
        <v>N</v>
      </c>
      <c r="AI5" s="14" t="str">
        <f t="shared" si="3"/>
        <v/>
      </c>
      <c r="AJ5" s="96"/>
      <c r="AK5" s="97"/>
      <c r="AL5" s="114"/>
      <c r="AN5" s="2"/>
    </row>
    <row r="6" spans="1:40" ht="27" customHeight="1" x14ac:dyDescent="0.2">
      <c r="A6" s="102" t="s">
        <v>4</v>
      </c>
      <c r="B6" s="104" t="s">
        <v>32</v>
      </c>
      <c r="C6" s="15" t="s">
        <v>30</v>
      </c>
      <c r="D6" s="4" t="s">
        <v>15</v>
      </c>
      <c r="E6" s="53"/>
      <c r="F6" s="53"/>
      <c r="G6" s="53" t="s">
        <v>48</v>
      </c>
      <c r="H6" s="53"/>
      <c r="I6" s="53"/>
      <c r="J6" s="53"/>
      <c r="K6" s="39"/>
      <c r="L6" s="53"/>
      <c r="M6" s="53"/>
      <c r="N6" s="56"/>
      <c r="O6" s="5"/>
      <c r="P6" s="56"/>
      <c r="Q6" s="56"/>
      <c r="R6" s="5"/>
      <c r="S6" s="53"/>
      <c r="T6" s="53"/>
      <c r="U6" s="53"/>
      <c r="V6" s="53"/>
      <c r="W6" s="53"/>
      <c r="X6" s="53"/>
      <c r="Y6" s="53" t="s">
        <v>55</v>
      </c>
      <c r="Z6" s="6"/>
      <c r="AA6" s="53"/>
      <c r="AB6" s="39"/>
      <c r="AC6" s="39"/>
      <c r="AD6" s="39"/>
      <c r="AE6" s="53"/>
      <c r="AF6" s="5"/>
      <c r="AG6" s="6"/>
      <c r="AH6" s="5"/>
      <c r="AI6" s="53"/>
      <c r="AJ6" s="25"/>
      <c r="AK6" s="54"/>
      <c r="AL6" s="115" t="s">
        <v>95</v>
      </c>
    </row>
    <row r="7" spans="1:40" ht="27" customHeight="1" x14ac:dyDescent="0.2">
      <c r="A7" s="103"/>
      <c r="B7" s="104"/>
      <c r="C7" s="16"/>
      <c r="D7" s="7" t="s">
        <v>16</v>
      </c>
      <c r="E7" s="53"/>
      <c r="F7" s="53"/>
      <c r="G7" s="53" t="s">
        <v>48</v>
      </c>
      <c r="H7" s="53"/>
      <c r="I7" s="53"/>
      <c r="J7" s="39"/>
      <c r="K7" s="53"/>
      <c r="L7" s="53"/>
      <c r="M7" s="53"/>
      <c r="N7" s="9"/>
      <c r="O7" s="9"/>
      <c r="P7" s="39"/>
      <c r="Q7" s="53"/>
      <c r="R7" s="53"/>
      <c r="S7" s="53"/>
      <c r="T7" s="53"/>
      <c r="U7" s="53"/>
      <c r="V7" s="53"/>
      <c r="W7" s="53"/>
      <c r="X7" s="53"/>
      <c r="Y7" s="9"/>
      <c r="Z7" s="9"/>
      <c r="AA7" s="53"/>
      <c r="AB7" s="39"/>
      <c r="AC7" s="53"/>
      <c r="AD7" s="53"/>
      <c r="AE7" s="39"/>
      <c r="AF7" s="9"/>
      <c r="AG7" s="19"/>
      <c r="AH7" s="9"/>
      <c r="AI7" s="8"/>
      <c r="AJ7" s="25" t="s">
        <v>20</v>
      </c>
      <c r="AK7" s="54">
        <f>COUNTA(E6:AI8,$C$24)*2</f>
        <v>8</v>
      </c>
      <c r="AL7" s="116"/>
    </row>
    <row r="8" spans="1:40" ht="27" customHeight="1" x14ac:dyDescent="0.2">
      <c r="A8" s="103"/>
      <c r="B8" s="104"/>
      <c r="C8" s="16"/>
      <c r="D8" s="7" t="s">
        <v>17</v>
      </c>
      <c r="E8" s="53"/>
      <c r="G8" s="53"/>
      <c r="H8" s="53"/>
      <c r="I8" s="53"/>
      <c r="J8" s="39"/>
      <c r="K8" s="53"/>
      <c r="L8" s="53"/>
      <c r="M8" s="53"/>
      <c r="N8" s="9"/>
      <c r="O8" s="9"/>
      <c r="P8" s="39"/>
      <c r="Q8" s="53"/>
      <c r="R8" s="53"/>
      <c r="S8" s="9"/>
      <c r="T8" s="53"/>
      <c r="U8" s="53"/>
      <c r="V8" s="53"/>
      <c r="W8" s="53"/>
      <c r="X8" s="9"/>
      <c r="Y8" s="9"/>
      <c r="Z8" s="9"/>
      <c r="AA8" s="53"/>
      <c r="AB8" s="53" t="s">
        <v>56</v>
      </c>
      <c r="AC8" s="53"/>
      <c r="AD8" s="53"/>
      <c r="AE8" s="39"/>
      <c r="AF8" s="9"/>
      <c r="AG8" s="19"/>
      <c r="AH8" s="9"/>
      <c r="AI8" s="8"/>
      <c r="AJ8" s="23" t="s">
        <v>21</v>
      </c>
      <c r="AK8" s="54">
        <f>COUNTA(E9:AI9,$C$24)*2</f>
        <v>0</v>
      </c>
      <c r="AL8" s="116"/>
      <c r="AM8" s="3"/>
    </row>
    <row r="9" spans="1:40" ht="27" customHeight="1" x14ac:dyDescent="0.2">
      <c r="A9" s="103"/>
      <c r="B9" s="104"/>
      <c r="C9" s="17"/>
      <c r="D9" s="10" t="s">
        <v>29</v>
      </c>
      <c r="E9" s="11"/>
      <c r="F9" s="12"/>
      <c r="G9" s="53"/>
      <c r="H9" s="53"/>
      <c r="I9" s="53"/>
      <c r="J9" s="45"/>
      <c r="K9" s="50"/>
      <c r="L9" s="12"/>
      <c r="M9" s="12"/>
      <c r="N9" s="12"/>
      <c r="O9" s="12"/>
      <c r="P9" s="12"/>
      <c r="Q9" s="12"/>
      <c r="R9" s="12"/>
      <c r="S9" s="12"/>
      <c r="T9" s="12"/>
      <c r="U9" s="12"/>
      <c r="V9" s="21"/>
      <c r="W9" s="21"/>
      <c r="X9" s="53"/>
      <c r="Y9" s="21"/>
      <c r="Z9" s="21"/>
      <c r="AA9" s="12"/>
      <c r="AB9" s="39"/>
      <c r="AC9" s="39"/>
      <c r="AD9" s="53"/>
      <c r="AE9" s="21"/>
      <c r="AF9" s="56"/>
      <c r="AG9" s="21"/>
      <c r="AH9" s="12"/>
      <c r="AI9" s="53"/>
      <c r="AJ9" s="28" t="s">
        <v>22</v>
      </c>
      <c r="AK9" s="28">
        <f t="shared" ref="AK9" si="4">SUM(AK7:AK8)</f>
        <v>8</v>
      </c>
      <c r="AL9" s="117"/>
      <c r="AM9" s="58" t="s">
        <v>57</v>
      </c>
    </row>
    <row r="10" spans="1:40" ht="27" customHeight="1" x14ac:dyDescent="0.2">
      <c r="A10" s="102" t="s">
        <v>5</v>
      </c>
      <c r="B10" s="104" t="s">
        <v>33</v>
      </c>
      <c r="C10" s="15" t="s">
        <v>30</v>
      </c>
      <c r="D10" s="4" t="s">
        <v>15</v>
      </c>
      <c r="E10" s="53"/>
      <c r="F10" s="53"/>
      <c r="G10" s="53" t="s">
        <v>60</v>
      </c>
      <c r="H10" s="56"/>
      <c r="I10" s="53"/>
      <c r="J10" s="53"/>
      <c r="K10" s="53" t="s">
        <v>63</v>
      </c>
      <c r="L10" s="53" t="s">
        <v>64</v>
      </c>
      <c r="M10" s="53"/>
      <c r="N10" s="56"/>
      <c r="O10" s="5"/>
      <c r="P10" s="56"/>
      <c r="Q10" s="56"/>
      <c r="R10" s="53" t="s">
        <v>68</v>
      </c>
      <c r="S10" s="53" t="s">
        <v>69</v>
      </c>
      <c r="T10" s="53"/>
      <c r="U10" s="53" t="s">
        <v>70</v>
      </c>
      <c r="V10" s="53"/>
      <c r="W10" s="53"/>
      <c r="X10" s="53"/>
      <c r="Y10" s="53" t="s">
        <v>71</v>
      </c>
      <c r="Z10" s="29"/>
      <c r="AA10" s="53"/>
      <c r="AB10" s="39"/>
      <c r="AC10" s="39"/>
      <c r="AD10" s="53"/>
      <c r="AE10" s="53"/>
      <c r="AF10" s="53"/>
      <c r="AG10" s="53"/>
      <c r="AH10" s="53"/>
      <c r="AI10" s="37"/>
      <c r="AJ10" s="25"/>
      <c r="AK10" s="54"/>
      <c r="AL10" s="118" t="s">
        <v>75</v>
      </c>
    </row>
    <row r="11" spans="1:40" ht="27" customHeight="1" x14ac:dyDescent="0.2">
      <c r="A11" s="103"/>
      <c r="B11" s="104"/>
      <c r="C11" s="16"/>
      <c r="D11" s="7" t="s">
        <v>16</v>
      </c>
      <c r="E11" s="53"/>
      <c r="F11" s="53" t="s">
        <v>59</v>
      </c>
      <c r="G11" s="53" t="s">
        <v>61</v>
      </c>
      <c r="H11" s="9"/>
      <c r="I11" s="53"/>
      <c r="J11" s="53"/>
      <c r="K11" s="53" t="s">
        <v>63</v>
      </c>
      <c r="L11" s="53" t="s">
        <v>64</v>
      </c>
      <c r="M11" s="53" t="s">
        <v>65</v>
      </c>
      <c r="N11" s="9"/>
      <c r="O11" s="9"/>
      <c r="P11" s="39"/>
      <c r="Q11" s="53" t="s">
        <v>67</v>
      </c>
      <c r="R11" s="53"/>
      <c r="S11" s="53" t="s">
        <v>69</v>
      </c>
      <c r="T11" s="53"/>
      <c r="U11" s="53" t="s">
        <v>70</v>
      </c>
      <c r="V11" s="53"/>
      <c r="W11" s="9"/>
      <c r="X11" s="53"/>
      <c r="Y11" s="53" t="s">
        <v>71</v>
      </c>
      <c r="Z11" s="9"/>
      <c r="AA11" s="53" t="s">
        <v>72</v>
      </c>
      <c r="AB11" s="53" t="s">
        <v>73</v>
      </c>
      <c r="AC11" s="53"/>
      <c r="AD11" s="45"/>
      <c r="AE11" s="53"/>
      <c r="AF11" s="53"/>
      <c r="AG11" s="53"/>
      <c r="AH11" s="53"/>
      <c r="AI11" s="8"/>
      <c r="AJ11" s="25" t="s">
        <v>20</v>
      </c>
      <c r="AK11" s="54">
        <f>COUNTA(E10:AI12,$C$24)*2</f>
        <v>60</v>
      </c>
      <c r="AL11" s="119"/>
    </row>
    <row r="12" spans="1:40" ht="27" customHeight="1" x14ac:dyDescent="0.2">
      <c r="A12" s="103"/>
      <c r="B12" s="104"/>
      <c r="C12" s="16"/>
      <c r="D12" s="7" t="s">
        <v>17</v>
      </c>
      <c r="E12" s="53" t="s">
        <v>58</v>
      </c>
      <c r="F12" s="53" t="s">
        <v>59</v>
      </c>
      <c r="G12" s="53" t="s">
        <v>62</v>
      </c>
      <c r="H12" s="9"/>
      <c r="I12" s="53"/>
      <c r="J12" s="53"/>
      <c r="K12" s="53" t="s">
        <v>63</v>
      </c>
      <c r="L12" s="53" t="s">
        <v>64</v>
      </c>
      <c r="M12" s="53"/>
      <c r="N12" s="53" t="s">
        <v>66</v>
      </c>
      <c r="O12" s="9"/>
      <c r="P12" s="39"/>
      <c r="Q12" s="53" t="s">
        <v>67</v>
      </c>
      <c r="R12" s="53"/>
      <c r="S12" s="53" t="s">
        <v>69</v>
      </c>
      <c r="T12" s="53"/>
      <c r="U12" s="53" t="s">
        <v>70</v>
      </c>
      <c r="V12" s="53"/>
      <c r="W12" s="53"/>
      <c r="X12" s="9"/>
      <c r="Y12" s="53" t="s">
        <v>71</v>
      </c>
      <c r="Z12" s="9"/>
      <c r="AA12" s="53" t="s">
        <v>72</v>
      </c>
      <c r="AB12" s="53" t="s">
        <v>74</v>
      </c>
      <c r="AC12" s="53"/>
      <c r="AD12" s="53"/>
      <c r="AE12" s="53"/>
      <c r="AF12" s="53"/>
      <c r="AG12" s="53"/>
      <c r="AH12" s="53"/>
      <c r="AI12" s="53"/>
      <c r="AJ12" s="23" t="s">
        <v>21</v>
      </c>
      <c r="AK12" s="54">
        <v>0</v>
      </c>
      <c r="AL12" s="119"/>
      <c r="AM12" s="3"/>
    </row>
    <row r="13" spans="1:40" ht="27" customHeight="1" x14ac:dyDescent="0.2">
      <c r="A13" s="103"/>
      <c r="B13" s="104"/>
      <c r="C13" s="32"/>
      <c r="D13" s="59" t="s">
        <v>45</v>
      </c>
      <c r="E13" s="38"/>
      <c r="F13" s="22"/>
      <c r="G13" s="39"/>
      <c r="H13" s="22"/>
      <c r="I13" s="53"/>
      <c r="J13" s="53"/>
      <c r="K13" s="50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53"/>
      <c r="AC13" s="39"/>
      <c r="AD13" s="53"/>
      <c r="AE13" s="45"/>
      <c r="AF13" s="56"/>
      <c r="AG13" s="22"/>
      <c r="AH13" s="22"/>
      <c r="AI13" s="53"/>
      <c r="AJ13" s="28" t="s">
        <v>22</v>
      </c>
      <c r="AK13" s="28">
        <f t="shared" ref="AK13" si="5">SUM(AK11:AK12)</f>
        <v>60</v>
      </c>
      <c r="AL13" s="120"/>
      <c r="AM13" s="3"/>
    </row>
    <row r="14" spans="1:40" ht="27" customHeight="1" x14ac:dyDescent="0.2">
      <c r="A14" s="102" t="s">
        <v>6</v>
      </c>
      <c r="B14" s="104" t="s">
        <v>34</v>
      </c>
      <c r="C14" s="15" t="s">
        <v>42</v>
      </c>
      <c r="D14" s="4" t="s">
        <v>15</v>
      </c>
      <c r="E14" s="53"/>
      <c r="F14" s="53"/>
      <c r="G14" s="53"/>
      <c r="H14" s="53"/>
      <c r="I14" s="53"/>
      <c r="J14" s="53"/>
      <c r="K14" s="53"/>
      <c r="L14" s="53"/>
      <c r="M14" s="53"/>
      <c r="N14" s="56"/>
      <c r="O14" s="5"/>
      <c r="P14" s="56"/>
      <c r="Q14" s="56"/>
      <c r="R14" s="5"/>
      <c r="S14" s="53"/>
      <c r="T14" s="53"/>
      <c r="U14" s="53"/>
      <c r="V14" s="53"/>
      <c r="W14" s="49"/>
      <c r="X14" s="53"/>
      <c r="Y14" s="53"/>
      <c r="Z14" s="53"/>
      <c r="AA14" s="53"/>
      <c r="AB14" s="53"/>
      <c r="AC14" s="53"/>
      <c r="AD14" s="45"/>
      <c r="AE14" s="53"/>
      <c r="AF14" s="53"/>
      <c r="AG14" s="53"/>
      <c r="AH14" s="53"/>
      <c r="AI14" s="45"/>
      <c r="AJ14" s="25"/>
      <c r="AK14" s="54"/>
      <c r="AL14" s="118" t="s">
        <v>97</v>
      </c>
      <c r="AM14" s="3"/>
    </row>
    <row r="15" spans="1:40" ht="27" customHeight="1" x14ac:dyDescent="0.2">
      <c r="A15" s="103"/>
      <c r="B15" s="104"/>
      <c r="C15" s="16" t="s">
        <v>46</v>
      </c>
      <c r="D15" s="7" t="s">
        <v>16</v>
      </c>
      <c r="E15" s="53"/>
      <c r="F15" s="53"/>
      <c r="G15" s="39"/>
      <c r="H15" s="53"/>
      <c r="I15" s="53"/>
      <c r="J15" s="53"/>
      <c r="K15" s="53"/>
      <c r="L15" s="53"/>
      <c r="M15" s="53"/>
      <c r="N15" s="9"/>
      <c r="O15" s="9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45"/>
      <c r="AE15" s="53"/>
      <c r="AF15" s="53"/>
      <c r="AG15" s="53"/>
      <c r="AH15" s="53"/>
      <c r="AI15" s="45"/>
      <c r="AJ15" s="25" t="s">
        <v>20</v>
      </c>
      <c r="AK15" s="54">
        <f>COUNTA(E14:AI16,$C$24)*2</f>
        <v>0</v>
      </c>
      <c r="AL15" s="119"/>
      <c r="AM15" s="3"/>
    </row>
    <row r="16" spans="1:40" ht="27" customHeight="1" x14ac:dyDescent="0.2">
      <c r="A16" s="103"/>
      <c r="B16" s="104"/>
      <c r="C16" s="16"/>
      <c r="D16" s="7" t="s">
        <v>17</v>
      </c>
      <c r="E16" s="53"/>
      <c r="G16" s="39"/>
      <c r="H16" s="53"/>
      <c r="I16" s="53"/>
      <c r="J16" s="53"/>
      <c r="K16" s="53"/>
      <c r="L16" s="53"/>
      <c r="M16" s="53"/>
      <c r="N16" s="9"/>
      <c r="O16" s="9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45"/>
      <c r="AJ16" s="23" t="s">
        <v>21</v>
      </c>
      <c r="AK16" s="54">
        <v>0</v>
      </c>
      <c r="AL16" s="119"/>
      <c r="AM16" s="3"/>
    </row>
    <row r="17" spans="1:39" ht="27" customHeight="1" x14ac:dyDescent="0.2">
      <c r="A17" s="103"/>
      <c r="B17" s="104"/>
      <c r="C17" s="17"/>
      <c r="D17" s="57" t="s">
        <v>45</v>
      </c>
      <c r="E17" s="11"/>
      <c r="F17" s="12"/>
      <c r="G17" s="39"/>
      <c r="H17" s="53"/>
      <c r="I17" s="53"/>
      <c r="J17" s="53"/>
      <c r="K17" s="50"/>
      <c r="L17" s="50"/>
      <c r="M17" s="50"/>
      <c r="N17" s="50"/>
      <c r="O17" s="50"/>
      <c r="P17" s="53"/>
      <c r="Q17" s="50"/>
      <c r="R17" s="45"/>
      <c r="S17" s="50"/>
      <c r="T17" s="53"/>
      <c r="U17" s="50"/>
      <c r="V17" s="50"/>
      <c r="W17" s="50"/>
      <c r="X17" s="45"/>
      <c r="Y17" s="50"/>
      <c r="Z17" s="50"/>
      <c r="AA17" s="50"/>
      <c r="AB17" s="39"/>
      <c r="AC17" s="39"/>
      <c r="AE17" s="45"/>
      <c r="AF17" s="56"/>
      <c r="AG17" s="51"/>
      <c r="AH17" s="50"/>
      <c r="AI17" s="53"/>
      <c r="AJ17" s="28" t="s">
        <v>22</v>
      </c>
      <c r="AK17" s="28">
        <f t="shared" ref="AK17" si="6">SUM(AK15:AK16)</f>
        <v>0</v>
      </c>
      <c r="AL17" s="120"/>
      <c r="AM17" s="3"/>
    </row>
    <row r="18" spans="1:39" ht="27" customHeight="1" x14ac:dyDescent="0.2">
      <c r="A18" s="102" t="s">
        <v>7</v>
      </c>
      <c r="B18" s="104" t="s">
        <v>35</v>
      </c>
      <c r="C18" s="15" t="s">
        <v>30</v>
      </c>
      <c r="D18" s="4" t="s">
        <v>15</v>
      </c>
      <c r="E18" s="53" t="s">
        <v>76</v>
      </c>
      <c r="F18" s="53"/>
      <c r="G18" s="53"/>
      <c r="H18" s="53"/>
      <c r="I18" s="53"/>
      <c r="J18" s="53"/>
      <c r="K18" s="53" t="s">
        <v>78</v>
      </c>
      <c r="L18" s="53" t="s">
        <v>80</v>
      </c>
      <c r="M18" s="53" t="s">
        <v>82</v>
      </c>
      <c r="N18" s="56"/>
      <c r="O18" s="5"/>
      <c r="P18" s="53"/>
      <c r="Q18" s="56"/>
      <c r="R18" s="53" t="s">
        <v>82</v>
      </c>
      <c r="S18" s="53"/>
      <c r="T18" s="53" t="s">
        <v>86</v>
      </c>
      <c r="U18" s="53"/>
      <c r="V18" s="53"/>
      <c r="W18" s="5"/>
      <c r="X18" s="53"/>
      <c r="Y18" s="53" t="s">
        <v>83</v>
      </c>
      <c r="Z18" s="53" t="s">
        <v>89</v>
      </c>
      <c r="AA18" s="53" t="s">
        <v>90</v>
      </c>
      <c r="AB18" s="53" t="s">
        <v>90</v>
      </c>
      <c r="AC18" s="39"/>
      <c r="AD18" s="39"/>
      <c r="AE18" s="39"/>
      <c r="AF18" s="5"/>
      <c r="AG18" s="6"/>
      <c r="AH18" s="5"/>
      <c r="AI18" s="36"/>
      <c r="AJ18" s="25"/>
      <c r="AK18" s="54"/>
      <c r="AL18" s="118" t="s">
        <v>91</v>
      </c>
    </row>
    <row r="19" spans="1:39" ht="27" customHeight="1" x14ac:dyDescent="0.2">
      <c r="A19" s="103"/>
      <c r="B19" s="104"/>
      <c r="C19" s="16"/>
      <c r="D19" s="7" t="s">
        <v>16</v>
      </c>
      <c r="E19" s="53" t="s">
        <v>77</v>
      </c>
      <c r="F19" s="53"/>
      <c r="G19" s="53" t="s">
        <v>78</v>
      </c>
      <c r="H19" s="53"/>
      <c r="I19" s="53"/>
      <c r="J19" s="53" t="s">
        <v>77</v>
      </c>
      <c r="K19" s="53" t="s">
        <v>79</v>
      </c>
      <c r="L19" s="53" t="s">
        <v>81</v>
      </c>
      <c r="M19" s="53" t="s">
        <v>82</v>
      </c>
      <c r="N19" s="53" t="s">
        <v>83</v>
      </c>
      <c r="O19" s="9"/>
      <c r="P19" s="53"/>
      <c r="Q19" s="53" t="s">
        <v>84</v>
      </c>
      <c r="R19" s="53" t="s">
        <v>82</v>
      </c>
      <c r="S19" s="53" t="s">
        <v>85</v>
      </c>
      <c r="T19" s="53" t="s">
        <v>86</v>
      </c>
      <c r="U19" s="53"/>
      <c r="V19" s="53"/>
      <c r="W19" s="53"/>
      <c r="X19" s="53" t="s">
        <v>87</v>
      </c>
      <c r="Y19" s="53" t="s">
        <v>83</v>
      </c>
      <c r="Z19" s="53" t="s">
        <v>89</v>
      </c>
      <c r="AA19" s="53" t="s">
        <v>90</v>
      </c>
      <c r="AB19" s="53" t="s">
        <v>90</v>
      </c>
      <c r="AC19" s="39"/>
      <c r="AD19" s="39"/>
      <c r="AE19" s="39"/>
      <c r="AF19" s="9"/>
      <c r="AG19" s="19"/>
      <c r="AH19" s="53"/>
      <c r="AI19" s="8"/>
      <c r="AJ19" s="25" t="s">
        <v>20</v>
      </c>
      <c r="AK19" s="54">
        <f>COUNTA(E18:AI20,$C$24)*2</f>
        <v>78</v>
      </c>
      <c r="AL19" s="119"/>
    </row>
    <row r="20" spans="1:39" ht="27" customHeight="1" x14ac:dyDescent="0.2">
      <c r="A20" s="103"/>
      <c r="B20" s="104"/>
      <c r="C20" s="16"/>
      <c r="D20" s="7" t="s">
        <v>17</v>
      </c>
      <c r="E20" s="53"/>
      <c r="F20" s="53"/>
      <c r="G20" s="53" t="s">
        <v>78</v>
      </c>
      <c r="H20" s="53"/>
      <c r="I20" s="53"/>
      <c r="J20" s="53" t="s">
        <v>79</v>
      </c>
      <c r="K20" s="53" t="s">
        <v>79</v>
      </c>
      <c r="L20" s="53"/>
      <c r="M20" s="53" t="s">
        <v>82</v>
      </c>
      <c r="N20" s="53" t="s">
        <v>83</v>
      </c>
      <c r="O20" s="9"/>
      <c r="P20" s="39"/>
      <c r="Q20" s="53" t="s">
        <v>84</v>
      </c>
      <c r="R20" s="53" t="s">
        <v>82</v>
      </c>
      <c r="S20" s="9"/>
      <c r="T20" s="53" t="s">
        <v>86</v>
      </c>
      <c r="U20" s="53" t="s">
        <v>84</v>
      </c>
      <c r="V20" s="53"/>
      <c r="W20" s="53"/>
      <c r="X20" s="53" t="s">
        <v>87</v>
      </c>
      <c r="Y20" s="53" t="s">
        <v>88</v>
      </c>
      <c r="Z20" s="53"/>
      <c r="AA20" s="53" t="s">
        <v>90</v>
      </c>
      <c r="AB20" s="53" t="s">
        <v>90</v>
      </c>
      <c r="AC20" s="39"/>
      <c r="AD20" s="39"/>
      <c r="AE20" s="53"/>
      <c r="AF20" s="9"/>
      <c r="AG20" s="19"/>
      <c r="AH20" s="53"/>
      <c r="AI20" s="8"/>
      <c r="AJ20" s="23" t="s">
        <v>21</v>
      </c>
      <c r="AK20" s="54">
        <v>2</v>
      </c>
      <c r="AL20" s="119"/>
    </row>
    <row r="21" spans="1:39" ht="27" customHeight="1" x14ac:dyDescent="0.2">
      <c r="A21" s="103"/>
      <c r="B21" s="104"/>
      <c r="C21" s="17"/>
      <c r="D21" s="57" t="s">
        <v>45</v>
      </c>
      <c r="E21" s="8"/>
      <c r="F21" s="9"/>
      <c r="G21" s="39"/>
      <c r="H21" s="53"/>
      <c r="I21" s="53"/>
      <c r="J21" s="53"/>
      <c r="K21" s="5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21"/>
      <c r="W21" s="21"/>
      <c r="X21" s="53" t="s">
        <v>87</v>
      </c>
      <c r="Y21" s="21"/>
      <c r="Z21" s="21"/>
      <c r="AA21" s="12"/>
      <c r="AB21" s="39"/>
      <c r="AC21" s="39"/>
      <c r="AD21" s="21"/>
      <c r="AE21" s="21"/>
      <c r="AF21" s="56"/>
      <c r="AG21" s="21"/>
      <c r="AH21" s="12"/>
      <c r="AI21" s="53"/>
      <c r="AJ21" s="28" t="s">
        <v>22</v>
      </c>
      <c r="AK21" s="28">
        <f t="shared" ref="AK21" si="7">SUM(AK19:AK20)</f>
        <v>80</v>
      </c>
      <c r="AL21" s="120"/>
    </row>
    <row r="22" spans="1:39" ht="27" customHeight="1" x14ac:dyDescent="0.2">
      <c r="A22" s="102" t="s">
        <v>8</v>
      </c>
      <c r="B22" s="104" t="s">
        <v>36</v>
      </c>
      <c r="C22" s="15"/>
      <c r="D22" s="4" t="s">
        <v>15</v>
      </c>
      <c r="E22" s="53"/>
      <c r="F22" s="53"/>
      <c r="G22" s="39"/>
      <c r="H22" s="39"/>
      <c r="I22" s="39"/>
      <c r="J22" s="39"/>
      <c r="K22" s="39"/>
      <c r="L22" s="53"/>
      <c r="M22" s="53"/>
      <c r="N22" s="56"/>
      <c r="O22" s="5"/>
      <c r="P22" s="56"/>
      <c r="Q22" s="56"/>
      <c r="R22" s="5"/>
      <c r="S22" s="53"/>
      <c r="T22" s="53"/>
      <c r="U22" s="53"/>
      <c r="V22" s="53"/>
      <c r="W22" s="9"/>
      <c r="X22" s="9"/>
      <c r="Y22" s="19"/>
      <c r="Z22" s="19"/>
      <c r="AA22" s="9"/>
      <c r="AB22" s="9"/>
      <c r="AC22" s="39"/>
      <c r="AD22" s="39"/>
      <c r="AE22" s="39"/>
      <c r="AF22" s="44"/>
      <c r="AG22" s="19"/>
      <c r="AH22" s="44"/>
      <c r="AI22" s="8"/>
      <c r="AJ22" s="25"/>
      <c r="AK22" s="54"/>
      <c r="AL22" s="118" t="s">
        <v>43</v>
      </c>
    </row>
    <row r="23" spans="1:39" ht="27" customHeight="1" x14ac:dyDescent="0.2">
      <c r="A23" s="103"/>
      <c r="B23" s="104"/>
      <c r="C23" s="16"/>
      <c r="D23" s="7" t="s">
        <v>16</v>
      </c>
      <c r="E23" s="53"/>
      <c r="F23" s="53"/>
      <c r="G23" s="39"/>
      <c r="H23" s="39"/>
      <c r="I23" s="39"/>
      <c r="J23" s="39"/>
      <c r="K23" s="39"/>
      <c r="L23" s="53"/>
      <c r="M23" s="53"/>
      <c r="N23" s="9"/>
      <c r="O23" s="9"/>
      <c r="P23" s="39"/>
      <c r="Q23" s="53"/>
      <c r="R23" s="53"/>
      <c r="S23" s="53"/>
      <c r="T23" s="53"/>
      <c r="U23" s="53"/>
      <c r="V23" s="53"/>
      <c r="W23" s="9"/>
      <c r="X23" s="9"/>
      <c r="Y23" s="19"/>
      <c r="Z23" s="19"/>
      <c r="AA23" s="9"/>
      <c r="AB23" s="9"/>
      <c r="AC23" s="19"/>
      <c r="AD23" s="39"/>
      <c r="AE23" s="39"/>
      <c r="AF23" s="44"/>
      <c r="AG23" s="39"/>
      <c r="AH23" s="44"/>
      <c r="AI23" s="8"/>
      <c r="AJ23" s="25" t="s">
        <v>20</v>
      </c>
      <c r="AK23" s="54">
        <f>COUNTA(E22:AI24,$C$24)*2</f>
        <v>0</v>
      </c>
      <c r="AL23" s="119"/>
    </row>
    <row r="24" spans="1:39" ht="27" customHeight="1" x14ac:dyDescent="0.2">
      <c r="A24" s="103"/>
      <c r="B24" s="104"/>
      <c r="C24" s="16"/>
      <c r="D24" s="7" t="s">
        <v>17</v>
      </c>
      <c r="E24" s="53"/>
      <c r="F24" s="53"/>
      <c r="G24" s="39"/>
      <c r="H24" s="39"/>
      <c r="I24" s="39"/>
      <c r="J24" s="39"/>
      <c r="K24" s="39"/>
      <c r="L24" s="53"/>
      <c r="M24" s="53"/>
      <c r="N24" s="9"/>
      <c r="O24" s="9"/>
      <c r="P24" s="39"/>
      <c r="Q24" s="53"/>
      <c r="R24" s="53"/>
      <c r="S24" s="9"/>
      <c r="T24" s="53"/>
      <c r="U24" s="53"/>
      <c r="V24" s="53"/>
      <c r="W24" s="9"/>
      <c r="X24" s="9"/>
      <c r="Y24" s="19"/>
      <c r="Z24" s="19"/>
      <c r="AA24" s="9"/>
      <c r="AB24" s="9"/>
      <c r="AC24" s="19"/>
      <c r="AD24" s="39"/>
      <c r="AE24" s="39"/>
      <c r="AF24" s="9"/>
      <c r="AG24" s="19"/>
      <c r="AH24" s="9"/>
      <c r="AI24" s="8"/>
      <c r="AJ24" s="23" t="s">
        <v>21</v>
      </c>
      <c r="AK24" s="54">
        <f>COUNTA(E25:AI25,$C$24)*2</f>
        <v>0</v>
      </c>
      <c r="AL24" s="119"/>
    </row>
    <row r="25" spans="1:39" ht="27" customHeight="1" x14ac:dyDescent="0.2">
      <c r="A25" s="105"/>
      <c r="B25" s="106"/>
      <c r="C25" s="32"/>
      <c r="D25" s="60" t="s">
        <v>29</v>
      </c>
      <c r="E25" s="38"/>
      <c r="F25" s="22"/>
      <c r="G25" s="22"/>
      <c r="H25" s="22"/>
      <c r="I25" s="22"/>
      <c r="J25" s="22"/>
      <c r="K25" s="61"/>
      <c r="L25" s="22"/>
      <c r="M25" s="22"/>
      <c r="N25" s="22"/>
      <c r="O25" s="22"/>
      <c r="P25" s="22"/>
      <c r="Q25" s="6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31"/>
      <c r="AD25" s="31"/>
      <c r="AE25" s="61"/>
      <c r="AF25" s="22"/>
      <c r="AG25" s="31"/>
      <c r="AH25" s="22"/>
      <c r="AJ25" s="63" t="s">
        <v>22</v>
      </c>
      <c r="AK25" s="63">
        <f t="shared" ref="AK25" si="8">SUM(AK23:AK24)</f>
        <v>0</v>
      </c>
      <c r="AL25" s="119"/>
    </row>
    <row r="26" spans="1:39" ht="27" customHeight="1" x14ac:dyDescent="0.2">
      <c r="A26" s="102" t="s">
        <v>9</v>
      </c>
      <c r="B26" s="104" t="s">
        <v>40</v>
      </c>
      <c r="C26" s="15" t="s">
        <v>42</v>
      </c>
      <c r="D26" s="4" t="s">
        <v>15</v>
      </c>
      <c r="E26" s="70"/>
      <c r="F26" s="70"/>
      <c r="G26" s="70"/>
      <c r="H26" s="70"/>
      <c r="I26" s="70"/>
      <c r="J26" s="70"/>
      <c r="K26" s="71"/>
      <c r="L26" s="70" t="s">
        <v>51</v>
      </c>
      <c r="M26" s="70"/>
      <c r="N26" s="72"/>
      <c r="O26" s="5"/>
      <c r="P26" s="72"/>
      <c r="Q26" s="72"/>
      <c r="R26" s="5"/>
      <c r="S26" s="70" t="s">
        <v>53</v>
      </c>
      <c r="T26" s="70"/>
      <c r="U26" s="70"/>
      <c r="V26" s="70"/>
      <c r="W26" s="70"/>
      <c r="X26" s="70"/>
      <c r="Y26" s="70" t="s">
        <v>94</v>
      </c>
      <c r="Z26" s="6"/>
      <c r="AA26" s="73"/>
      <c r="AB26" s="71"/>
      <c r="AC26" s="71"/>
      <c r="AD26" s="74"/>
      <c r="AE26" s="74"/>
      <c r="AF26" s="73"/>
      <c r="AG26" s="75"/>
      <c r="AH26" s="73"/>
      <c r="AI26" s="74"/>
      <c r="AJ26" s="76"/>
      <c r="AK26" s="77"/>
      <c r="AL26" s="118" t="s">
        <v>98</v>
      </c>
    </row>
    <row r="27" spans="1:39" ht="27" customHeight="1" x14ac:dyDescent="0.2">
      <c r="A27" s="103"/>
      <c r="B27" s="104"/>
      <c r="C27" s="16" t="s">
        <v>46</v>
      </c>
      <c r="D27" s="7" t="s">
        <v>16</v>
      </c>
      <c r="E27" s="53"/>
      <c r="F27" s="53"/>
      <c r="G27" s="39"/>
      <c r="H27" s="53"/>
      <c r="I27" s="53"/>
      <c r="J27" s="39"/>
      <c r="K27" s="53" t="s">
        <v>49</v>
      </c>
      <c r="L27" s="53" t="s">
        <v>51</v>
      </c>
      <c r="M27" s="53" t="s">
        <v>52</v>
      </c>
      <c r="N27" s="9"/>
      <c r="O27" s="9"/>
      <c r="P27" s="39"/>
      <c r="Q27" s="53"/>
      <c r="R27" s="53" t="s">
        <v>92</v>
      </c>
      <c r="S27" s="53" t="s">
        <v>54</v>
      </c>
      <c r="T27" s="53"/>
      <c r="U27" s="53"/>
      <c r="V27" s="53"/>
      <c r="W27" s="53"/>
      <c r="X27" s="53"/>
      <c r="Y27" s="53" t="s">
        <v>94</v>
      </c>
      <c r="Z27" s="9"/>
      <c r="AA27" s="48"/>
      <c r="AB27" s="39"/>
      <c r="AC27" s="39"/>
      <c r="AD27" s="44"/>
      <c r="AE27" s="44"/>
      <c r="AF27" s="48"/>
      <c r="AG27" s="47"/>
      <c r="AH27" s="45"/>
      <c r="AI27" s="52"/>
      <c r="AJ27" s="25" t="s">
        <v>20</v>
      </c>
      <c r="AK27" s="54">
        <f>COUNTA(E26:AI28,$C$24)*2</f>
        <v>22</v>
      </c>
      <c r="AL27" s="119"/>
    </row>
    <row r="28" spans="1:39" ht="27" customHeight="1" x14ac:dyDescent="0.2">
      <c r="A28" s="103"/>
      <c r="B28" s="104"/>
      <c r="C28" s="16"/>
      <c r="D28" s="7" t="s">
        <v>17</v>
      </c>
      <c r="E28" s="53"/>
      <c r="F28" s="53"/>
      <c r="G28" s="39"/>
      <c r="H28" s="53"/>
      <c r="I28" s="53"/>
      <c r="J28" s="39"/>
      <c r="K28" s="53" t="s">
        <v>50</v>
      </c>
      <c r="L28" s="53"/>
      <c r="M28" s="53"/>
      <c r="N28" s="9"/>
      <c r="O28" s="9"/>
      <c r="P28" s="39"/>
      <c r="Q28" s="53"/>
      <c r="R28" s="53"/>
      <c r="S28" s="53" t="s">
        <v>93</v>
      </c>
      <c r="T28" s="53"/>
      <c r="U28" s="53"/>
      <c r="V28" s="53"/>
      <c r="W28" s="53"/>
      <c r="X28" s="9"/>
      <c r="Y28" s="9"/>
      <c r="Z28" s="9"/>
      <c r="AA28" s="48"/>
      <c r="AB28" s="39"/>
      <c r="AC28" s="39"/>
      <c r="AD28" s="44"/>
      <c r="AE28" s="44"/>
      <c r="AF28" s="48"/>
      <c r="AG28" s="47"/>
      <c r="AH28" s="48"/>
      <c r="AI28" s="52"/>
      <c r="AJ28" s="23" t="s">
        <v>21</v>
      </c>
      <c r="AK28" s="54">
        <v>0</v>
      </c>
      <c r="AL28" s="119"/>
    </row>
    <row r="29" spans="1:39" ht="27" customHeight="1" x14ac:dyDescent="0.2">
      <c r="A29" s="103"/>
      <c r="B29" s="104"/>
      <c r="C29" s="17"/>
      <c r="D29" s="57" t="s">
        <v>45</v>
      </c>
      <c r="E29" s="11"/>
      <c r="F29" s="78"/>
      <c r="G29" s="78"/>
      <c r="H29" s="79"/>
      <c r="I29" s="79"/>
      <c r="J29" s="80"/>
      <c r="K29" s="50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21"/>
      <c r="W29" s="21"/>
      <c r="X29" s="79"/>
      <c r="Y29" s="21"/>
      <c r="Z29" s="21"/>
      <c r="AA29" s="81"/>
      <c r="AB29" s="78"/>
      <c r="AC29" s="78"/>
      <c r="AD29" s="82"/>
      <c r="AE29" s="83"/>
      <c r="AF29" s="81"/>
      <c r="AG29" s="83"/>
      <c r="AH29" s="81"/>
      <c r="AI29" s="84"/>
      <c r="AJ29" s="28" t="s">
        <v>22</v>
      </c>
      <c r="AK29" s="28">
        <f t="shared" ref="AK29:AK69" si="9">SUM(AK27:AK28)</f>
        <v>22</v>
      </c>
      <c r="AL29" s="120"/>
    </row>
    <row r="30" spans="1:39" ht="27" customHeight="1" x14ac:dyDescent="0.2">
      <c r="A30" s="102" t="s">
        <v>10</v>
      </c>
      <c r="B30" s="104" t="s">
        <v>41</v>
      </c>
      <c r="C30" s="15" t="s">
        <v>42</v>
      </c>
      <c r="D30" s="4" t="s">
        <v>15</v>
      </c>
      <c r="E30" s="70"/>
      <c r="F30" s="70"/>
      <c r="G30" s="70"/>
      <c r="H30" s="71"/>
      <c r="I30" s="87"/>
      <c r="J30" s="70"/>
      <c r="K30" s="71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5"/>
      <c r="X30" s="70"/>
      <c r="Y30" s="87"/>
      <c r="Z30" s="70"/>
      <c r="AA30" s="70"/>
      <c r="AB30" s="71"/>
      <c r="AC30" s="71"/>
      <c r="AD30" s="71"/>
      <c r="AE30" s="70"/>
      <c r="AF30" s="70"/>
      <c r="AG30" s="70"/>
      <c r="AH30" s="70"/>
      <c r="AI30" s="70"/>
      <c r="AJ30" s="76"/>
      <c r="AK30" s="77"/>
      <c r="AL30" s="118" t="s">
        <v>96</v>
      </c>
    </row>
    <row r="31" spans="1:39" ht="27" customHeight="1" x14ac:dyDescent="0.2">
      <c r="A31" s="103"/>
      <c r="B31" s="104"/>
      <c r="C31" s="16"/>
      <c r="D31" s="7" t="s">
        <v>16</v>
      </c>
      <c r="E31" s="53"/>
      <c r="F31" s="53"/>
      <c r="G31" s="39"/>
      <c r="H31" s="39"/>
      <c r="J31" s="53"/>
      <c r="K31" s="39"/>
      <c r="L31" s="53"/>
      <c r="M31" s="53"/>
      <c r="N31" s="53"/>
      <c r="O31" s="53"/>
      <c r="P31" s="53"/>
      <c r="Q31" s="53"/>
      <c r="S31" s="53"/>
      <c r="T31" s="53"/>
      <c r="U31" s="53"/>
      <c r="V31" s="53"/>
      <c r="W31" s="9"/>
      <c r="X31" s="53"/>
      <c r="Z31" s="53"/>
      <c r="AA31" s="53"/>
      <c r="AB31" s="39"/>
      <c r="AC31" s="39"/>
      <c r="AD31" s="39"/>
      <c r="AE31" s="39"/>
      <c r="AF31" s="53"/>
      <c r="AG31" s="53"/>
      <c r="AH31" s="53"/>
      <c r="AI31" s="53"/>
      <c r="AJ31" s="25" t="s">
        <v>20</v>
      </c>
      <c r="AK31" s="54">
        <f>COUNTA(E30:AI32,$C$24)*2</f>
        <v>0</v>
      </c>
      <c r="AL31" s="119"/>
    </row>
    <row r="32" spans="1:39" ht="27" customHeight="1" x14ac:dyDescent="0.2">
      <c r="A32" s="103"/>
      <c r="B32" s="104"/>
      <c r="C32" s="16"/>
      <c r="D32" s="7" t="s">
        <v>17</v>
      </c>
      <c r="E32" s="53"/>
      <c r="G32" s="39"/>
      <c r="H32" s="39"/>
      <c r="J32" s="53"/>
      <c r="K32" s="39"/>
      <c r="L32" s="53"/>
      <c r="M32" s="53"/>
      <c r="N32" s="53"/>
      <c r="O32" s="53"/>
      <c r="P32" s="53"/>
      <c r="Q32" s="53"/>
      <c r="R32" s="53"/>
      <c r="T32" s="53"/>
      <c r="U32" s="53"/>
      <c r="V32" s="53"/>
      <c r="W32" s="9"/>
      <c r="X32" s="53"/>
      <c r="Y32" s="53"/>
      <c r="Z32" s="53"/>
      <c r="AA32" s="53"/>
      <c r="AB32" s="39"/>
      <c r="AC32" s="39"/>
      <c r="AD32" s="39"/>
      <c r="AE32" s="39"/>
      <c r="AF32" s="53"/>
      <c r="AG32" s="53"/>
      <c r="AH32" s="53"/>
      <c r="AI32" s="53"/>
      <c r="AJ32" s="23" t="s">
        <v>21</v>
      </c>
      <c r="AK32" s="54">
        <v>0</v>
      </c>
      <c r="AL32" s="119"/>
    </row>
    <row r="33" spans="1:38" ht="27" customHeight="1" x14ac:dyDescent="0.2">
      <c r="A33" s="103"/>
      <c r="B33" s="104"/>
      <c r="C33" s="17"/>
      <c r="D33" s="10" t="s">
        <v>29</v>
      </c>
      <c r="E33" s="11"/>
      <c r="F33" s="12"/>
      <c r="G33" s="78"/>
      <c r="H33" s="78"/>
      <c r="I33" s="78"/>
      <c r="J33" s="79"/>
      <c r="K33" s="50"/>
      <c r="L33" s="12"/>
      <c r="M33" s="88"/>
      <c r="N33" s="12"/>
      <c r="O33" s="12"/>
      <c r="P33" s="12"/>
      <c r="Q33" s="79"/>
      <c r="R33" s="12"/>
      <c r="S33" s="12"/>
      <c r="T33" s="79"/>
      <c r="U33" s="12"/>
      <c r="V33" s="21"/>
      <c r="W33" s="79"/>
      <c r="X33" s="12"/>
      <c r="Y33" s="12"/>
      <c r="Z33" s="21"/>
      <c r="AA33" s="12"/>
      <c r="AB33" s="78"/>
      <c r="AC33" s="78"/>
      <c r="AD33" s="79"/>
      <c r="AE33" s="21"/>
      <c r="AF33" s="12"/>
      <c r="AG33" s="78"/>
      <c r="AH33" s="12"/>
      <c r="AI33" s="11"/>
      <c r="AJ33" s="28" t="s">
        <v>22</v>
      </c>
      <c r="AK33" s="28">
        <f t="shared" si="9"/>
        <v>0</v>
      </c>
      <c r="AL33" s="120"/>
    </row>
    <row r="34" spans="1:38" ht="27" customHeight="1" x14ac:dyDescent="0.2">
      <c r="A34" s="107" t="s">
        <v>11</v>
      </c>
      <c r="B34" s="108" t="s">
        <v>37</v>
      </c>
      <c r="C34" s="64" t="s">
        <v>31</v>
      </c>
      <c r="D34" s="65" t="s">
        <v>15</v>
      </c>
      <c r="E34" s="37"/>
      <c r="F34" s="66"/>
      <c r="G34" s="29"/>
      <c r="H34" s="29"/>
      <c r="I34" s="30"/>
      <c r="J34" s="66"/>
      <c r="K34" s="66"/>
      <c r="L34" s="66"/>
      <c r="M34" s="85"/>
      <c r="N34" s="29"/>
      <c r="O34" s="29"/>
      <c r="P34" s="67"/>
      <c r="Q34" s="67"/>
      <c r="R34" s="86"/>
      <c r="S34" s="66"/>
      <c r="T34" s="66"/>
      <c r="U34" s="66"/>
      <c r="V34" s="29"/>
      <c r="W34" s="29"/>
      <c r="X34" s="29"/>
      <c r="Y34" s="67"/>
      <c r="Z34" s="67"/>
      <c r="AA34" s="86"/>
      <c r="AB34" s="29"/>
      <c r="AC34" s="30"/>
      <c r="AD34" s="67"/>
      <c r="AE34" s="67"/>
      <c r="AF34" s="86"/>
      <c r="AG34" s="86"/>
      <c r="AH34" s="67"/>
      <c r="AI34" s="67"/>
      <c r="AJ34" s="68"/>
      <c r="AK34" s="69"/>
      <c r="AL34" s="121" t="s">
        <v>47</v>
      </c>
    </row>
    <row r="35" spans="1:38" ht="27" customHeight="1" x14ac:dyDescent="0.2">
      <c r="A35" s="103"/>
      <c r="B35" s="104"/>
      <c r="C35" s="16"/>
      <c r="D35" s="7" t="s">
        <v>16</v>
      </c>
      <c r="E35" s="53"/>
      <c r="F35" s="53"/>
      <c r="G35" s="9"/>
      <c r="H35" s="9"/>
      <c r="I35" s="19"/>
      <c r="J35" s="53"/>
      <c r="K35" s="53"/>
      <c r="L35" s="53"/>
      <c r="M35" s="56"/>
      <c r="N35" s="44"/>
      <c r="O35" s="9"/>
      <c r="P35" s="39"/>
      <c r="Q35" s="39"/>
      <c r="R35" s="9"/>
      <c r="S35" s="53"/>
      <c r="T35" s="53"/>
      <c r="U35" s="53"/>
      <c r="V35" s="53"/>
      <c r="W35" s="9"/>
      <c r="X35" s="53"/>
      <c r="Y35" s="39"/>
      <c r="Z35" s="39"/>
      <c r="AA35" s="53"/>
      <c r="AB35" s="53"/>
      <c r="AC35" s="19"/>
      <c r="AD35" s="39"/>
      <c r="AE35" s="39"/>
      <c r="AF35" s="44"/>
      <c r="AG35" s="44"/>
      <c r="AH35" s="39"/>
      <c r="AI35" s="39"/>
      <c r="AJ35" s="25" t="s">
        <v>20</v>
      </c>
      <c r="AK35" s="54">
        <f>COUNTA(E34:AI36,$C$24)*2</f>
        <v>0</v>
      </c>
      <c r="AL35" s="119"/>
    </row>
    <row r="36" spans="1:38" ht="27" customHeight="1" x14ac:dyDescent="0.2">
      <c r="A36" s="103"/>
      <c r="B36" s="104"/>
      <c r="C36" s="16"/>
      <c r="D36" s="7" t="s">
        <v>17</v>
      </c>
      <c r="E36" s="53"/>
      <c r="F36" s="9"/>
      <c r="G36" s="9"/>
      <c r="H36" s="9"/>
      <c r="I36" s="19"/>
      <c r="J36" s="53"/>
      <c r="K36" s="44"/>
      <c r="L36" s="19"/>
      <c r="M36" s="9"/>
      <c r="N36" s="9"/>
      <c r="O36" s="9"/>
      <c r="P36" s="39"/>
      <c r="Q36" s="39"/>
      <c r="R36" s="9"/>
      <c r="S36" s="9"/>
      <c r="T36" s="9"/>
      <c r="U36" s="53"/>
      <c r="V36" s="53"/>
      <c r="W36" s="9"/>
      <c r="X36" s="53"/>
      <c r="Y36" s="39"/>
      <c r="Z36" s="39"/>
      <c r="AA36" s="53"/>
      <c r="AB36" s="53"/>
      <c r="AC36" s="19"/>
      <c r="AD36" s="39"/>
      <c r="AE36" s="39"/>
      <c r="AF36" s="9"/>
      <c r="AG36" s="19"/>
      <c r="AH36" s="39"/>
      <c r="AI36" s="39"/>
      <c r="AJ36" s="23" t="s">
        <v>21</v>
      </c>
      <c r="AK36" s="54">
        <f t="shared" ref="AK36" si="10">COUNTA(E37:AH37,$C$24)*2</f>
        <v>0</v>
      </c>
      <c r="AL36" s="119"/>
    </row>
    <row r="37" spans="1:38" ht="27" customHeight="1" x14ac:dyDescent="0.2">
      <c r="A37" s="103"/>
      <c r="B37" s="104"/>
      <c r="C37" s="17"/>
      <c r="D37" s="10" t="s">
        <v>29</v>
      </c>
      <c r="E37" s="8"/>
      <c r="F37" s="39"/>
      <c r="G37" s="39"/>
      <c r="H37" s="9"/>
      <c r="I37" s="9"/>
      <c r="J37" s="53"/>
      <c r="K37" s="12"/>
      <c r="L37" s="12"/>
      <c r="M37" s="12"/>
      <c r="N37" s="12"/>
      <c r="O37" s="12"/>
      <c r="P37" s="12"/>
      <c r="Q37" s="12"/>
      <c r="R37" s="39"/>
      <c r="S37" s="12"/>
      <c r="T37" s="39"/>
      <c r="U37" s="12"/>
      <c r="V37" s="12"/>
      <c r="W37" s="12"/>
      <c r="X37" s="39"/>
      <c r="Y37" s="12"/>
      <c r="Z37" s="12"/>
      <c r="AA37" s="12"/>
      <c r="AB37" s="12"/>
      <c r="AC37" s="21"/>
      <c r="AD37" s="21"/>
      <c r="AE37" s="39"/>
      <c r="AF37" s="12"/>
      <c r="AG37" s="21"/>
      <c r="AH37" s="12"/>
      <c r="AI37" s="11"/>
      <c r="AJ37" s="28" t="s">
        <v>22</v>
      </c>
      <c r="AK37" s="28">
        <f t="shared" si="9"/>
        <v>0</v>
      </c>
      <c r="AL37" s="120"/>
    </row>
    <row r="38" spans="1:38" ht="27" customHeight="1" x14ac:dyDescent="0.2">
      <c r="A38" s="102" t="s">
        <v>12</v>
      </c>
      <c r="B38" s="104" t="s">
        <v>38</v>
      </c>
      <c r="C38" s="16"/>
      <c r="D38" s="4" t="s">
        <v>15</v>
      </c>
      <c r="E38" s="45"/>
      <c r="F38" s="45"/>
      <c r="G38" s="44"/>
      <c r="H38" s="39"/>
      <c r="I38" s="39"/>
      <c r="J38" s="53"/>
      <c r="K38" s="39"/>
      <c r="L38" s="45"/>
      <c r="M38" s="9"/>
      <c r="N38" s="9"/>
      <c r="O38" s="9"/>
      <c r="P38" s="39"/>
      <c r="Q38" s="39"/>
      <c r="R38" s="45"/>
      <c r="S38" s="44"/>
      <c r="T38" s="9"/>
      <c r="U38" s="44"/>
      <c r="V38" s="9"/>
      <c r="W38" s="9"/>
      <c r="X38" s="9"/>
      <c r="Y38" s="19"/>
      <c r="Z38" s="39"/>
      <c r="AA38" s="39"/>
      <c r="AB38" s="39"/>
      <c r="AC38" s="19"/>
      <c r="AD38" s="39"/>
      <c r="AE38" s="39"/>
      <c r="AF38" s="9"/>
      <c r="AG38" s="19"/>
      <c r="AH38" s="45"/>
      <c r="AI38" s="8"/>
      <c r="AJ38" s="25"/>
      <c r="AK38" s="25"/>
      <c r="AL38" s="118" t="s">
        <v>47</v>
      </c>
    </row>
    <row r="39" spans="1:38" ht="27" customHeight="1" x14ac:dyDescent="0.2">
      <c r="A39" s="103"/>
      <c r="B39" s="104"/>
      <c r="C39" s="16"/>
      <c r="D39" s="7" t="s">
        <v>16</v>
      </c>
      <c r="E39" s="44"/>
      <c r="F39" s="9"/>
      <c r="G39" s="9"/>
      <c r="H39" s="9"/>
      <c r="I39" s="19"/>
      <c r="J39" s="53"/>
      <c r="K39" s="39"/>
      <c r="L39" s="45"/>
      <c r="M39" s="9"/>
      <c r="N39" s="9"/>
      <c r="O39" s="9"/>
      <c r="P39" s="39"/>
      <c r="Q39" s="39"/>
      <c r="R39" s="45"/>
      <c r="S39" s="9"/>
      <c r="T39" s="9"/>
      <c r="U39" s="9"/>
      <c r="V39" s="9"/>
      <c r="W39" s="9"/>
      <c r="X39" s="9"/>
      <c r="Y39" s="45"/>
      <c r="Z39" s="46"/>
      <c r="AA39" s="45"/>
      <c r="AB39" s="39"/>
      <c r="AC39" s="19"/>
      <c r="AD39" s="39"/>
      <c r="AE39" s="39"/>
      <c r="AF39" s="9"/>
      <c r="AG39" s="39"/>
      <c r="AH39" s="45"/>
      <c r="AI39" s="8"/>
      <c r="AJ39" s="25" t="s">
        <v>20</v>
      </c>
      <c r="AK39" s="54">
        <f>COUNTA(E38:AI40,$C$24)*2</f>
        <v>0</v>
      </c>
      <c r="AL39" s="119"/>
    </row>
    <row r="40" spans="1:38" ht="27" customHeight="1" x14ac:dyDescent="0.2">
      <c r="A40" s="103"/>
      <c r="B40" s="104"/>
      <c r="C40" s="16"/>
      <c r="D40" s="7" t="s">
        <v>17</v>
      </c>
      <c r="E40" s="8"/>
      <c r="F40" s="39"/>
      <c r="G40" s="9"/>
      <c r="H40" s="9"/>
      <c r="I40" s="19"/>
      <c r="J40" s="53"/>
      <c r="K40" s="39"/>
      <c r="L40" s="45"/>
      <c r="M40" s="9"/>
      <c r="N40" s="9"/>
      <c r="O40" s="9"/>
      <c r="P40" s="39"/>
      <c r="Q40" s="39"/>
      <c r="R40" s="45"/>
      <c r="S40" s="9"/>
      <c r="T40" s="9"/>
      <c r="U40" s="9"/>
      <c r="V40" s="9"/>
      <c r="W40" s="9"/>
      <c r="X40" s="9"/>
      <c r="Y40" s="19"/>
      <c r="Z40" s="19"/>
      <c r="AA40" s="9"/>
      <c r="AB40" s="9"/>
      <c r="AC40" s="19"/>
      <c r="AD40" s="39"/>
      <c r="AE40" s="39"/>
      <c r="AF40" s="9"/>
      <c r="AG40" s="19"/>
      <c r="AH40" s="9"/>
      <c r="AI40" s="8"/>
      <c r="AJ40" s="23" t="s">
        <v>21</v>
      </c>
      <c r="AK40" s="54">
        <f t="shared" ref="AK40" si="11">COUNTA(E41:AH41,$C$24)*2</f>
        <v>0</v>
      </c>
      <c r="AL40" s="119"/>
    </row>
    <row r="41" spans="1:38" ht="27" customHeight="1" x14ac:dyDescent="0.2">
      <c r="A41" s="103"/>
      <c r="B41" s="104"/>
      <c r="C41" s="16"/>
      <c r="D41" s="10" t="s">
        <v>29</v>
      </c>
      <c r="E41" s="8"/>
      <c r="F41" s="39"/>
      <c r="G41" s="9"/>
      <c r="H41" s="9"/>
      <c r="I41" s="9"/>
      <c r="J41" s="53"/>
      <c r="K41" s="9"/>
      <c r="L41" s="9"/>
      <c r="M41" s="9"/>
      <c r="N41" s="9"/>
      <c r="O41" s="9"/>
      <c r="P41" s="9"/>
      <c r="Q41" s="39"/>
      <c r="R41" s="9"/>
      <c r="S41" s="9"/>
      <c r="T41" s="9"/>
      <c r="U41" s="9"/>
      <c r="V41" s="19"/>
      <c r="W41" s="9"/>
      <c r="X41" s="9"/>
      <c r="Y41" s="9"/>
      <c r="Z41" s="19"/>
      <c r="AA41" s="9"/>
      <c r="AB41" s="9"/>
      <c r="AC41" s="19"/>
      <c r="AD41" s="19"/>
      <c r="AE41" s="19"/>
      <c r="AF41" s="9"/>
      <c r="AG41" s="39"/>
      <c r="AH41" s="9"/>
      <c r="AI41" s="8"/>
      <c r="AJ41" s="28" t="s">
        <v>22</v>
      </c>
      <c r="AK41" s="28">
        <f t="shared" si="9"/>
        <v>0</v>
      </c>
      <c r="AL41" s="120"/>
    </row>
    <row r="42" spans="1:38" ht="27" customHeight="1" x14ac:dyDescent="0.2">
      <c r="A42" s="102"/>
      <c r="B42" s="104"/>
      <c r="C42" s="16"/>
      <c r="D42" s="4" t="s">
        <v>15</v>
      </c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19"/>
      <c r="AD42" s="19"/>
      <c r="AE42" s="19"/>
      <c r="AF42" s="9"/>
      <c r="AG42" s="9"/>
      <c r="AH42" s="9"/>
      <c r="AI42" s="8"/>
      <c r="AJ42" s="25"/>
      <c r="AK42" s="25"/>
      <c r="AL42" s="55"/>
    </row>
    <row r="43" spans="1:38" ht="27" customHeight="1" x14ac:dyDescent="0.2">
      <c r="A43" s="103"/>
      <c r="B43" s="104"/>
      <c r="C43" s="16"/>
      <c r="D43" s="7" t="s">
        <v>16</v>
      </c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19"/>
      <c r="AD43" s="19"/>
      <c r="AE43" s="19"/>
      <c r="AF43" s="9"/>
      <c r="AG43" s="9"/>
      <c r="AH43" s="9"/>
      <c r="AI43" s="8"/>
      <c r="AJ43" s="25" t="s">
        <v>20</v>
      </c>
      <c r="AK43" s="25">
        <f>COUNTA(E42:AI44,$C$24)*2</f>
        <v>0</v>
      </c>
      <c r="AL43" s="55"/>
    </row>
    <row r="44" spans="1:38" ht="27" customHeight="1" x14ac:dyDescent="0.2">
      <c r="A44" s="103"/>
      <c r="B44" s="104"/>
      <c r="C44" s="16"/>
      <c r="D44" s="7" t="s">
        <v>17</v>
      </c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19"/>
      <c r="AD44" s="19"/>
      <c r="AE44" s="19"/>
      <c r="AF44" s="9"/>
      <c r="AG44" s="9"/>
      <c r="AH44" s="9"/>
      <c r="AI44" s="8"/>
      <c r="AJ44" s="23" t="s">
        <v>21</v>
      </c>
      <c r="AK44" s="25">
        <f t="shared" ref="AK44" si="12">COUNTA(E45:AH45,$C$24)*2</f>
        <v>0</v>
      </c>
      <c r="AL44" s="55"/>
    </row>
    <row r="45" spans="1:38" ht="27" customHeight="1" x14ac:dyDescent="0.2">
      <c r="A45" s="103"/>
      <c r="B45" s="104"/>
      <c r="C45" s="16"/>
      <c r="D45" s="10" t="s">
        <v>29</v>
      </c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19"/>
      <c r="AD45" s="19"/>
      <c r="AE45" s="19"/>
      <c r="AF45" s="9"/>
      <c r="AG45" s="9"/>
      <c r="AH45" s="9"/>
      <c r="AI45" s="8"/>
      <c r="AJ45" s="28" t="s">
        <v>22</v>
      </c>
      <c r="AK45" s="11">
        <f t="shared" si="9"/>
        <v>0</v>
      </c>
      <c r="AL45" s="55"/>
    </row>
    <row r="46" spans="1:38" ht="27" customHeight="1" x14ac:dyDescent="0.2">
      <c r="A46" s="102"/>
      <c r="B46" s="104"/>
      <c r="C46" s="16"/>
      <c r="D46" s="4" t="s">
        <v>15</v>
      </c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8"/>
      <c r="AJ46" s="25"/>
      <c r="AK46" s="25"/>
      <c r="AL46" s="55"/>
    </row>
    <row r="47" spans="1:38" ht="27" customHeight="1" x14ac:dyDescent="0.2">
      <c r="A47" s="103"/>
      <c r="B47" s="104"/>
      <c r="C47" s="16"/>
      <c r="D47" s="7" t="s">
        <v>16</v>
      </c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8"/>
      <c r="AJ47" s="25" t="s">
        <v>20</v>
      </c>
      <c r="AK47" s="25">
        <f>COUNTA(E46:AI48,$C$24)*2</f>
        <v>0</v>
      </c>
      <c r="AL47" s="55"/>
    </row>
    <row r="48" spans="1:38" ht="27" customHeight="1" x14ac:dyDescent="0.2">
      <c r="A48" s="103"/>
      <c r="B48" s="104"/>
      <c r="C48" s="16"/>
      <c r="D48" s="7" t="s">
        <v>17</v>
      </c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8"/>
      <c r="AJ48" s="23" t="s">
        <v>21</v>
      </c>
      <c r="AK48" s="25">
        <f t="shared" ref="AK48" si="13">COUNTA(E49:AH49,$C$24)*2</f>
        <v>0</v>
      </c>
      <c r="AL48" s="55"/>
    </row>
    <row r="49" spans="1:38" ht="27" customHeight="1" x14ac:dyDescent="0.2">
      <c r="A49" s="103"/>
      <c r="B49" s="104"/>
      <c r="C49" s="16"/>
      <c r="D49" s="10" t="s">
        <v>29</v>
      </c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8"/>
      <c r="AJ49" s="28" t="s">
        <v>22</v>
      </c>
      <c r="AK49" s="11">
        <f t="shared" si="9"/>
        <v>0</v>
      </c>
      <c r="AL49" s="55"/>
    </row>
    <row r="50" spans="1:38" ht="27" customHeight="1" x14ac:dyDescent="0.2">
      <c r="A50" s="102"/>
      <c r="B50" s="104"/>
      <c r="C50" s="16"/>
      <c r="D50" s="4" t="s">
        <v>15</v>
      </c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19"/>
      <c r="AD50" s="19"/>
      <c r="AE50" s="19"/>
      <c r="AF50" s="9"/>
      <c r="AG50" s="9"/>
      <c r="AH50" s="9"/>
      <c r="AI50" s="8"/>
      <c r="AJ50" s="25"/>
      <c r="AK50" s="25"/>
      <c r="AL50" s="55"/>
    </row>
    <row r="51" spans="1:38" ht="27" customHeight="1" x14ac:dyDescent="0.2">
      <c r="A51" s="103"/>
      <c r="B51" s="104"/>
      <c r="C51" s="16"/>
      <c r="D51" s="7" t="s">
        <v>16</v>
      </c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19"/>
      <c r="AD51" s="19"/>
      <c r="AE51" s="19"/>
      <c r="AF51" s="9"/>
      <c r="AG51" s="9"/>
      <c r="AH51" s="9"/>
      <c r="AI51" s="8"/>
      <c r="AJ51" s="25" t="s">
        <v>20</v>
      </c>
      <c r="AK51" s="25">
        <f>COUNTA(E50:AI52,$C$24)*2</f>
        <v>0</v>
      </c>
      <c r="AL51" s="55"/>
    </row>
    <row r="52" spans="1:38" ht="27" customHeight="1" x14ac:dyDescent="0.2">
      <c r="A52" s="103"/>
      <c r="B52" s="104"/>
      <c r="C52" s="16"/>
      <c r="D52" s="7" t="s">
        <v>17</v>
      </c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19"/>
      <c r="AD52" s="19"/>
      <c r="AE52" s="19"/>
      <c r="AF52" s="9"/>
      <c r="AG52" s="9"/>
      <c r="AH52" s="9"/>
      <c r="AI52" s="8"/>
      <c r="AJ52" s="23" t="s">
        <v>21</v>
      </c>
      <c r="AK52" s="25">
        <f t="shared" ref="AK52" si="14">COUNTA(E53:AH53,$C$24)*2</f>
        <v>0</v>
      </c>
      <c r="AL52" s="55"/>
    </row>
    <row r="53" spans="1:38" ht="27" customHeight="1" x14ac:dyDescent="0.2">
      <c r="A53" s="103"/>
      <c r="B53" s="104"/>
      <c r="C53" s="16"/>
      <c r="D53" s="10" t="s">
        <v>29</v>
      </c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19"/>
      <c r="AD53" s="19"/>
      <c r="AE53" s="19"/>
      <c r="AF53" s="9"/>
      <c r="AG53" s="9"/>
      <c r="AH53" s="9"/>
      <c r="AI53" s="8"/>
      <c r="AJ53" s="28" t="s">
        <v>22</v>
      </c>
      <c r="AK53" s="11">
        <f t="shared" si="9"/>
        <v>0</v>
      </c>
      <c r="AL53" s="55"/>
    </row>
    <row r="54" spans="1:38" ht="27" customHeight="1" x14ac:dyDescent="0.2">
      <c r="A54" s="102"/>
      <c r="B54" s="104"/>
      <c r="C54" s="16"/>
      <c r="D54" s="4" t="s">
        <v>15</v>
      </c>
      <c r="E54" s="9"/>
      <c r="F54" s="9"/>
      <c r="G54" s="9"/>
      <c r="H54" s="9"/>
      <c r="I54" s="9"/>
      <c r="J54" s="19"/>
      <c r="K54" s="9"/>
      <c r="L54" s="9"/>
      <c r="M54" s="9"/>
      <c r="N54" s="9"/>
      <c r="O54" s="9"/>
      <c r="P54" s="1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19"/>
      <c r="AD54" s="19"/>
      <c r="AE54" s="19"/>
      <c r="AF54" s="9"/>
      <c r="AG54" s="9"/>
      <c r="AH54" s="9"/>
      <c r="AI54" s="9"/>
      <c r="AJ54" s="25"/>
      <c r="AK54" s="25"/>
      <c r="AL54" s="55"/>
    </row>
    <row r="55" spans="1:38" ht="27" customHeight="1" x14ac:dyDescent="0.2">
      <c r="A55" s="103"/>
      <c r="B55" s="104"/>
      <c r="C55" s="16"/>
      <c r="D55" s="7" t="s">
        <v>16</v>
      </c>
      <c r="E55" s="9"/>
      <c r="F55" s="9"/>
      <c r="G55" s="9"/>
      <c r="H55" s="19"/>
      <c r="I55" s="9"/>
      <c r="J55" s="1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9"/>
      <c r="Z55" s="26"/>
      <c r="AA55" s="9"/>
      <c r="AB55" s="9"/>
      <c r="AC55" s="19"/>
      <c r="AD55" s="19"/>
      <c r="AE55" s="19"/>
      <c r="AF55" s="9"/>
      <c r="AG55" s="9"/>
      <c r="AH55" s="9"/>
      <c r="AI55" s="9"/>
      <c r="AJ55" s="25" t="s">
        <v>20</v>
      </c>
      <c r="AK55" s="25">
        <f>COUNTA(E54:AI56,$C$24)*2</f>
        <v>0</v>
      </c>
      <c r="AL55" s="55"/>
    </row>
    <row r="56" spans="1:38" ht="27" customHeight="1" x14ac:dyDescent="0.2">
      <c r="A56" s="103"/>
      <c r="B56" s="104"/>
      <c r="C56" s="16"/>
      <c r="D56" s="7" t="s">
        <v>17</v>
      </c>
      <c r="E56" s="9"/>
      <c r="F56" s="9"/>
      <c r="G56" s="9"/>
      <c r="H56" s="19"/>
      <c r="I56" s="9"/>
      <c r="J56" s="9"/>
      <c r="K56" s="19"/>
      <c r="L56" s="1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19"/>
      <c r="AD56" s="19"/>
      <c r="AE56" s="19"/>
      <c r="AF56" s="9"/>
      <c r="AG56" s="9"/>
      <c r="AH56" s="9"/>
      <c r="AI56" s="9"/>
      <c r="AJ56" s="23" t="s">
        <v>21</v>
      </c>
      <c r="AK56" s="25">
        <f t="shared" ref="AK56" si="15">COUNTA(E57:AH57,$C$24)*2</f>
        <v>0</v>
      </c>
      <c r="AL56" s="55"/>
    </row>
    <row r="57" spans="1:38" ht="27" customHeight="1" x14ac:dyDescent="0.2">
      <c r="A57" s="103"/>
      <c r="B57" s="104"/>
      <c r="C57" s="16"/>
      <c r="D57" s="10" t="s">
        <v>29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19"/>
      <c r="W57" s="9"/>
      <c r="X57" s="9"/>
      <c r="Y57" s="9"/>
      <c r="Z57" s="9"/>
      <c r="AA57" s="9"/>
      <c r="AB57" s="9"/>
      <c r="AC57" s="19"/>
      <c r="AD57" s="19"/>
      <c r="AE57" s="19"/>
      <c r="AF57" s="9"/>
      <c r="AG57" s="9"/>
      <c r="AH57" s="9"/>
      <c r="AI57" s="9"/>
      <c r="AJ57" s="28" t="s">
        <v>22</v>
      </c>
      <c r="AK57" s="11">
        <f t="shared" si="9"/>
        <v>0</v>
      </c>
      <c r="AL57" s="55"/>
    </row>
    <row r="58" spans="1:38" ht="27" customHeight="1" x14ac:dyDescent="0.2">
      <c r="A58" s="102"/>
      <c r="B58" s="104"/>
      <c r="C58" s="16"/>
      <c r="D58" s="4" t="s">
        <v>15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25"/>
      <c r="AK58" s="25"/>
      <c r="AL58" s="55"/>
    </row>
    <row r="59" spans="1:38" ht="27" customHeight="1" x14ac:dyDescent="0.2">
      <c r="A59" s="103"/>
      <c r="B59" s="104"/>
      <c r="C59" s="16"/>
      <c r="D59" s="7" t="s">
        <v>16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25" t="s">
        <v>20</v>
      </c>
      <c r="AK59" s="25">
        <f>COUNTA(E58:AI60,$C$24)*2</f>
        <v>0</v>
      </c>
      <c r="AL59" s="55"/>
    </row>
    <row r="60" spans="1:38" ht="27" customHeight="1" x14ac:dyDescent="0.2">
      <c r="A60" s="103"/>
      <c r="B60" s="104"/>
      <c r="C60" s="16"/>
      <c r="D60" s="7" t="s">
        <v>17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23" t="s">
        <v>21</v>
      </c>
      <c r="AK60" s="25">
        <f t="shared" ref="AK60" si="16">COUNTA(E61:AH61,$C$24)*2</f>
        <v>0</v>
      </c>
      <c r="AL60" s="55"/>
    </row>
    <row r="61" spans="1:38" ht="27" customHeight="1" x14ac:dyDescent="0.2">
      <c r="A61" s="103"/>
      <c r="B61" s="104"/>
      <c r="C61" s="16"/>
      <c r="D61" s="10" t="s">
        <v>29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28" t="s">
        <v>22</v>
      </c>
      <c r="AK61" s="11">
        <f t="shared" si="9"/>
        <v>0</v>
      </c>
      <c r="AL61" s="55"/>
    </row>
    <row r="62" spans="1:38" ht="27" customHeight="1" x14ac:dyDescent="0.2">
      <c r="A62" s="102"/>
      <c r="B62" s="104"/>
      <c r="C62" s="16"/>
      <c r="D62" s="4" t="s">
        <v>15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19"/>
      <c r="AD62" s="19"/>
      <c r="AE62" s="19"/>
      <c r="AF62" s="9"/>
      <c r="AG62" s="9"/>
      <c r="AH62" s="9"/>
      <c r="AI62" s="9"/>
      <c r="AJ62" s="25"/>
      <c r="AK62" s="25"/>
      <c r="AL62" s="55"/>
    </row>
    <row r="63" spans="1:38" ht="27" customHeight="1" x14ac:dyDescent="0.2">
      <c r="A63" s="103"/>
      <c r="B63" s="104"/>
      <c r="C63" s="16"/>
      <c r="D63" s="7" t="s">
        <v>16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9"/>
      <c r="Z63" s="9"/>
      <c r="AA63" s="9"/>
      <c r="AB63" s="9"/>
      <c r="AC63" s="19"/>
      <c r="AD63" s="19"/>
      <c r="AE63" s="19"/>
      <c r="AF63" s="9"/>
      <c r="AG63" s="9"/>
      <c r="AH63" s="9"/>
      <c r="AI63" s="9"/>
      <c r="AJ63" s="25" t="s">
        <v>20</v>
      </c>
      <c r="AK63" s="25">
        <f>COUNTA(E62:AI64,$C$24)*2</f>
        <v>0</v>
      </c>
      <c r="AL63" s="55"/>
    </row>
    <row r="64" spans="1:38" ht="27" customHeight="1" x14ac:dyDescent="0.2">
      <c r="A64" s="103"/>
      <c r="B64" s="104"/>
      <c r="C64" s="16"/>
      <c r="D64" s="7" t="s">
        <v>17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9"/>
      <c r="AD64" s="19"/>
      <c r="AE64" s="19"/>
      <c r="AF64" s="9"/>
      <c r="AG64" s="9"/>
      <c r="AH64" s="9"/>
      <c r="AI64" s="9"/>
      <c r="AJ64" s="23" t="s">
        <v>21</v>
      </c>
      <c r="AK64" s="25">
        <f t="shared" ref="AK64" si="17">COUNTA(E65:AH65,$C$24)*2</f>
        <v>0</v>
      </c>
      <c r="AL64" s="55"/>
    </row>
    <row r="65" spans="1:38" ht="27" customHeight="1" x14ac:dyDescent="0.2">
      <c r="A65" s="103"/>
      <c r="B65" s="104"/>
      <c r="C65" s="16"/>
      <c r="D65" s="10" t="s">
        <v>29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19"/>
      <c r="W65" s="9"/>
      <c r="X65" s="9"/>
      <c r="Y65" s="9"/>
      <c r="Z65" s="9"/>
      <c r="AA65" s="9"/>
      <c r="AB65" s="9"/>
      <c r="AC65" s="19"/>
      <c r="AD65" s="19"/>
      <c r="AE65" s="19"/>
      <c r="AF65" s="9"/>
      <c r="AG65" s="9"/>
      <c r="AH65" s="9"/>
      <c r="AI65" s="9"/>
      <c r="AJ65" s="28" t="s">
        <v>22</v>
      </c>
      <c r="AK65" s="11">
        <f t="shared" si="9"/>
        <v>0</v>
      </c>
      <c r="AL65" s="55"/>
    </row>
    <row r="66" spans="1:38" ht="27" customHeight="1" x14ac:dyDescent="0.2">
      <c r="A66" s="102" t="s">
        <v>13</v>
      </c>
      <c r="B66" s="104"/>
      <c r="C66" s="16"/>
      <c r="D66" s="4" t="s">
        <v>15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25"/>
      <c r="AK66" s="25"/>
      <c r="AL66" s="55"/>
    </row>
    <row r="67" spans="1:38" ht="27" customHeight="1" x14ac:dyDescent="0.2">
      <c r="A67" s="103"/>
      <c r="B67" s="104"/>
      <c r="C67" s="16"/>
      <c r="D67" s="7" t="s">
        <v>16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25" t="s">
        <v>20</v>
      </c>
      <c r="AK67" s="25">
        <f>COUNTA(E66:AI68,$C$24)*2</f>
        <v>0</v>
      </c>
      <c r="AL67" s="55"/>
    </row>
    <row r="68" spans="1:38" ht="27" customHeight="1" x14ac:dyDescent="0.2">
      <c r="A68" s="103"/>
      <c r="B68" s="104"/>
      <c r="C68" s="16"/>
      <c r="D68" s="7" t="s">
        <v>17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23" t="s">
        <v>21</v>
      </c>
      <c r="AK68" s="25">
        <f t="shared" ref="AK68" si="18">COUNTA(E69:AH69,$C$24)*2</f>
        <v>0</v>
      </c>
      <c r="AL68" s="55"/>
    </row>
    <row r="69" spans="1:38" ht="27" customHeight="1" x14ac:dyDescent="0.2">
      <c r="A69" s="103"/>
      <c r="B69" s="104"/>
      <c r="C69" s="16"/>
      <c r="D69" s="10" t="s">
        <v>29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28" t="s">
        <v>22</v>
      </c>
      <c r="AK69" s="11">
        <f t="shared" si="9"/>
        <v>0</v>
      </c>
      <c r="AL69" s="55"/>
    </row>
    <row r="70" spans="1:38" ht="27" customHeight="1" x14ac:dyDescent="0.2">
      <c r="A70" s="102"/>
      <c r="B70" s="104"/>
      <c r="C70" s="16" t="s">
        <v>30</v>
      </c>
      <c r="D70" s="4" t="s">
        <v>15</v>
      </c>
      <c r="E70" s="1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19"/>
      <c r="AD70" s="19"/>
      <c r="AE70" s="19"/>
      <c r="AF70" s="9"/>
      <c r="AG70" s="9"/>
      <c r="AH70" s="9"/>
      <c r="AI70" s="9"/>
      <c r="AJ70" s="25"/>
      <c r="AK70" s="25"/>
      <c r="AL70" s="55"/>
    </row>
    <row r="71" spans="1:38" ht="27" customHeight="1" x14ac:dyDescent="0.2">
      <c r="A71" s="103"/>
      <c r="B71" s="104"/>
      <c r="C71" s="16"/>
      <c r="D71" s="7" t="s">
        <v>16</v>
      </c>
      <c r="E71" s="19"/>
      <c r="F71" s="9"/>
      <c r="G71" s="9"/>
      <c r="H71" s="1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9"/>
      <c r="AD71" s="19"/>
      <c r="AE71" s="19"/>
      <c r="AF71" s="9"/>
      <c r="AG71" s="9"/>
      <c r="AH71" s="9"/>
      <c r="AI71" s="9"/>
      <c r="AJ71" s="25" t="s">
        <v>20</v>
      </c>
      <c r="AK71" s="25">
        <f t="shared" ref="AK71:AK87" si="19">COUNTA(E70:AI72,$C$24)*2</f>
        <v>0</v>
      </c>
      <c r="AL71" s="55"/>
    </row>
    <row r="72" spans="1:38" ht="27" customHeight="1" x14ac:dyDescent="0.2">
      <c r="A72" s="103"/>
      <c r="B72" s="104"/>
      <c r="C72" s="16"/>
      <c r="D72" s="7" t="s">
        <v>17</v>
      </c>
      <c r="E72" s="19"/>
      <c r="F72" s="9"/>
      <c r="G72" s="9"/>
      <c r="H72" s="1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9"/>
      <c r="AD72" s="19"/>
      <c r="AE72" s="19"/>
      <c r="AF72" s="9"/>
      <c r="AG72" s="9"/>
      <c r="AH72" s="9"/>
      <c r="AI72" s="9"/>
      <c r="AJ72" s="23" t="s">
        <v>21</v>
      </c>
      <c r="AK72" s="25">
        <f t="shared" ref="AK72" si="20">COUNTA(E73:AH73,$C$24)*2</f>
        <v>0</v>
      </c>
      <c r="AL72" s="55"/>
    </row>
    <row r="73" spans="1:38" ht="27" customHeight="1" x14ac:dyDescent="0.2">
      <c r="A73" s="103"/>
      <c r="B73" s="104"/>
      <c r="C73" s="16"/>
      <c r="D73" s="10" t="s">
        <v>29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19"/>
      <c r="W73" s="9"/>
      <c r="X73" s="9"/>
      <c r="Y73" s="9"/>
      <c r="Z73" s="9"/>
      <c r="AA73" s="9"/>
      <c r="AB73" s="9"/>
      <c r="AC73" s="19"/>
      <c r="AD73" s="19"/>
      <c r="AE73" s="19"/>
      <c r="AF73" s="9"/>
      <c r="AG73" s="9"/>
      <c r="AH73" s="9"/>
      <c r="AI73" s="9"/>
      <c r="AJ73" s="28" t="s">
        <v>22</v>
      </c>
      <c r="AK73" s="11">
        <f t="shared" ref="AK73:AK89" si="21">SUM(AK71:AK72)</f>
        <v>0</v>
      </c>
      <c r="AL73" s="55"/>
    </row>
    <row r="74" spans="1:38" ht="27" customHeight="1" x14ac:dyDescent="0.2">
      <c r="A74" s="102"/>
      <c r="B74" s="104"/>
      <c r="C74" s="16"/>
      <c r="D74" s="4" t="s">
        <v>15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9"/>
      <c r="AD74" s="19"/>
      <c r="AE74" s="19"/>
      <c r="AF74" s="9"/>
      <c r="AG74" s="9"/>
      <c r="AH74" s="9"/>
      <c r="AI74" s="9"/>
      <c r="AJ74" s="25"/>
      <c r="AK74" s="25"/>
      <c r="AL74" s="55"/>
    </row>
    <row r="75" spans="1:38" ht="27" customHeight="1" x14ac:dyDescent="0.2">
      <c r="A75" s="103"/>
      <c r="B75" s="104"/>
      <c r="C75" s="16"/>
      <c r="D75" s="7" t="s">
        <v>16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19"/>
      <c r="AD75" s="19"/>
      <c r="AE75" s="19"/>
      <c r="AF75" s="9"/>
      <c r="AG75" s="9"/>
      <c r="AH75" s="9"/>
      <c r="AI75" s="9"/>
      <c r="AJ75" s="25" t="s">
        <v>20</v>
      </c>
      <c r="AK75" s="25">
        <f t="shared" si="19"/>
        <v>0</v>
      </c>
      <c r="AL75" s="55"/>
    </row>
    <row r="76" spans="1:38" ht="27" customHeight="1" x14ac:dyDescent="0.2">
      <c r="A76" s="103"/>
      <c r="B76" s="104"/>
      <c r="C76" s="16"/>
      <c r="D76" s="7" t="s">
        <v>17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19"/>
      <c r="AD76" s="19"/>
      <c r="AE76" s="19"/>
      <c r="AF76" s="9"/>
      <c r="AG76" s="9"/>
      <c r="AH76" s="9"/>
      <c r="AI76" s="9"/>
      <c r="AJ76" s="23" t="s">
        <v>21</v>
      </c>
      <c r="AK76" s="25">
        <f t="shared" ref="AK76" si="22">COUNTA(E77:AH77,$C$24)*2</f>
        <v>0</v>
      </c>
      <c r="AL76" s="55"/>
    </row>
    <row r="77" spans="1:38" ht="27" customHeight="1" x14ac:dyDescent="0.2">
      <c r="A77" s="103"/>
      <c r="B77" s="104"/>
      <c r="C77" s="16"/>
      <c r="D77" s="10" t="s">
        <v>29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19"/>
      <c r="AD77" s="19"/>
      <c r="AE77" s="19"/>
      <c r="AF77" s="9"/>
      <c r="AG77" s="9"/>
      <c r="AH77" s="9"/>
      <c r="AI77" s="9"/>
      <c r="AJ77" s="28" t="s">
        <v>22</v>
      </c>
      <c r="AK77" s="11">
        <f t="shared" si="21"/>
        <v>0</v>
      </c>
      <c r="AL77" s="55"/>
    </row>
    <row r="78" spans="1:38" ht="27" customHeight="1" x14ac:dyDescent="0.2">
      <c r="A78" s="102"/>
      <c r="B78" s="104"/>
      <c r="C78" s="16"/>
      <c r="D78" s="4" t="s">
        <v>15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19"/>
      <c r="Q78" s="19"/>
      <c r="R78" s="19"/>
      <c r="S78" s="19"/>
      <c r="T78" s="9"/>
      <c r="U78" s="9"/>
      <c r="V78" s="9"/>
      <c r="W78" s="19"/>
      <c r="X78" s="19"/>
      <c r="Y78" s="19"/>
      <c r="Z78" s="9"/>
      <c r="AA78" s="9"/>
      <c r="AB78" s="9"/>
      <c r="AC78" s="8"/>
      <c r="AD78" s="19"/>
      <c r="AE78" s="19"/>
      <c r="AF78" s="19"/>
      <c r="AG78" s="19"/>
      <c r="AH78" s="9"/>
      <c r="AI78" s="9"/>
      <c r="AJ78" s="25"/>
      <c r="AK78" s="25"/>
      <c r="AL78" s="55"/>
    </row>
    <row r="79" spans="1:38" ht="27" customHeight="1" x14ac:dyDescent="0.2">
      <c r="A79" s="103"/>
      <c r="B79" s="104"/>
      <c r="C79" s="16"/>
      <c r="D79" s="7" t="s">
        <v>16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19"/>
      <c r="P79" s="19"/>
      <c r="Q79" s="19"/>
      <c r="R79" s="19"/>
      <c r="S79" s="19"/>
      <c r="T79" s="9"/>
      <c r="U79" s="9"/>
      <c r="V79" s="9"/>
      <c r="W79" s="19"/>
      <c r="X79" s="19"/>
      <c r="Y79" s="19"/>
      <c r="Z79" s="9"/>
      <c r="AA79" s="9"/>
      <c r="AB79" s="9"/>
      <c r="AC79" s="19"/>
      <c r="AD79" s="27"/>
      <c r="AE79" s="19"/>
      <c r="AF79" s="8"/>
      <c r="AG79" s="19"/>
      <c r="AH79" s="20"/>
      <c r="AI79" s="9"/>
      <c r="AJ79" s="25" t="s">
        <v>20</v>
      </c>
      <c r="AK79" s="25">
        <f t="shared" si="19"/>
        <v>0</v>
      </c>
      <c r="AL79" s="55"/>
    </row>
    <row r="80" spans="1:38" ht="27" customHeight="1" x14ac:dyDescent="0.2">
      <c r="A80" s="103"/>
      <c r="B80" s="104"/>
      <c r="C80" s="16"/>
      <c r="D80" s="7" t="s">
        <v>17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8"/>
      <c r="AD80" s="8"/>
      <c r="AE80" s="8"/>
      <c r="AF80" s="8"/>
      <c r="AG80" s="8"/>
      <c r="AH80" s="9"/>
      <c r="AI80" s="9"/>
      <c r="AJ80" s="23" t="s">
        <v>21</v>
      </c>
      <c r="AK80" s="25">
        <f t="shared" ref="AK80" si="23">COUNTA(E81:AH81,$C$24)*2</f>
        <v>0</v>
      </c>
      <c r="AL80" s="55"/>
    </row>
    <row r="81" spans="1:38" ht="27" customHeight="1" x14ac:dyDescent="0.2">
      <c r="A81" s="103"/>
      <c r="B81" s="104"/>
      <c r="C81" s="16"/>
      <c r="D81" s="10" t="s">
        <v>29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19"/>
      <c r="P81" s="19"/>
      <c r="Q81" s="19"/>
      <c r="R81" s="9"/>
      <c r="S81" s="9"/>
      <c r="T81" s="9"/>
      <c r="U81" s="9"/>
      <c r="V81" s="19"/>
      <c r="W81" s="19"/>
      <c r="X81" s="19"/>
      <c r="Y81" s="19"/>
      <c r="Z81" s="19"/>
      <c r="AA81" s="9"/>
      <c r="AB81" s="9"/>
      <c r="AC81" s="19"/>
      <c r="AD81" s="19"/>
      <c r="AE81" s="8"/>
      <c r="AF81" s="8"/>
      <c r="AG81" s="8"/>
      <c r="AH81" s="9"/>
      <c r="AI81" s="9"/>
      <c r="AJ81" s="28" t="s">
        <v>22</v>
      </c>
      <c r="AK81" s="11">
        <f t="shared" si="21"/>
        <v>0</v>
      </c>
      <c r="AL81" s="55"/>
    </row>
    <row r="82" spans="1:38" ht="27" customHeight="1" x14ac:dyDescent="0.2">
      <c r="A82" s="102"/>
      <c r="B82" s="109"/>
      <c r="C82" s="16"/>
      <c r="D82" s="4" t="s">
        <v>15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8"/>
      <c r="AD82" s="8"/>
      <c r="AE82" s="8"/>
      <c r="AF82" s="8"/>
      <c r="AG82" s="8"/>
      <c r="AH82" s="9"/>
      <c r="AI82" s="9"/>
      <c r="AJ82" s="25"/>
      <c r="AK82" s="25"/>
      <c r="AL82" s="55"/>
    </row>
    <row r="83" spans="1:38" ht="27" customHeight="1" x14ac:dyDescent="0.2">
      <c r="A83" s="103"/>
      <c r="B83" s="109"/>
      <c r="C83" s="16"/>
      <c r="D83" s="7" t="s">
        <v>16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8"/>
      <c r="AD83" s="8"/>
      <c r="AE83" s="8"/>
      <c r="AF83" s="8"/>
      <c r="AG83" s="8"/>
      <c r="AH83" s="9"/>
      <c r="AI83" s="9"/>
      <c r="AJ83" s="25" t="s">
        <v>20</v>
      </c>
      <c r="AK83" s="25">
        <f t="shared" si="19"/>
        <v>0</v>
      </c>
      <c r="AL83" s="55"/>
    </row>
    <row r="84" spans="1:38" ht="27" customHeight="1" x14ac:dyDescent="0.2">
      <c r="A84" s="103"/>
      <c r="B84" s="109"/>
      <c r="C84" s="16"/>
      <c r="D84" s="7" t="s">
        <v>17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8"/>
      <c r="AD84" s="8"/>
      <c r="AE84" s="8"/>
      <c r="AF84" s="8"/>
      <c r="AG84" s="8"/>
      <c r="AH84" s="9"/>
      <c r="AI84" s="9"/>
      <c r="AJ84" s="23" t="s">
        <v>21</v>
      </c>
      <c r="AK84" s="25">
        <f t="shared" ref="AK84" si="24">COUNTA(E85:AH85,$C$24)*2</f>
        <v>0</v>
      </c>
      <c r="AL84" s="55"/>
    </row>
    <row r="85" spans="1:38" ht="27" customHeight="1" x14ac:dyDescent="0.2">
      <c r="A85" s="103"/>
      <c r="B85" s="109"/>
      <c r="C85" s="16"/>
      <c r="D85" s="10" t="s">
        <v>29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8"/>
      <c r="AD85" s="8"/>
      <c r="AE85" s="8"/>
      <c r="AF85" s="8"/>
      <c r="AG85" s="8"/>
      <c r="AH85" s="9"/>
      <c r="AI85" s="9"/>
      <c r="AJ85" s="28" t="s">
        <v>22</v>
      </c>
      <c r="AK85" s="11">
        <f t="shared" si="21"/>
        <v>0</v>
      </c>
      <c r="AL85" s="55"/>
    </row>
    <row r="86" spans="1:38" ht="27" customHeight="1" x14ac:dyDescent="0.2">
      <c r="A86" s="102"/>
      <c r="B86" s="104"/>
      <c r="C86" s="16"/>
      <c r="D86" s="4" t="s">
        <v>15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9"/>
      <c r="Q86" s="19"/>
      <c r="R86" s="19"/>
      <c r="S86" s="19"/>
      <c r="T86" s="9"/>
      <c r="U86" s="9"/>
      <c r="V86" s="9"/>
      <c r="W86" s="19"/>
      <c r="X86" s="19"/>
      <c r="Y86" s="19"/>
      <c r="Z86" s="9"/>
      <c r="AA86" s="9"/>
      <c r="AB86" s="9"/>
      <c r="AC86" s="8"/>
      <c r="AD86" s="19"/>
      <c r="AE86" s="19"/>
      <c r="AF86" s="19"/>
      <c r="AG86" s="19"/>
      <c r="AH86" s="9"/>
      <c r="AI86" s="9"/>
      <c r="AJ86" s="25"/>
      <c r="AK86" s="25"/>
      <c r="AL86" s="55"/>
    </row>
    <row r="87" spans="1:38" ht="27" customHeight="1" x14ac:dyDescent="0.2">
      <c r="A87" s="103"/>
      <c r="B87" s="104"/>
      <c r="C87" s="16"/>
      <c r="D87" s="7" t="s">
        <v>16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19"/>
      <c r="P87" s="19"/>
      <c r="Q87" s="19"/>
      <c r="R87" s="19"/>
      <c r="S87" s="19"/>
      <c r="T87" s="9"/>
      <c r="U87" s="9"/>
      <c r="V87" s="9"/>
      <c r="W87" s="19"/>
      <c r="X87" s="19"/>
      <c r="Y87" s="19"/>
      <c r="Z87" s="9"/>
      <c r="AA87" s="9"/>
      <c r="AB87" s="9"/>
      <c r="AC87" s="19"/>
      <c r="AD87" s="27"/>
      <c r="AE87" s="19"/>
      <c r="AF87" s="8"/>
      <c r="AG87" s="19"/>
      <c r="AH87" s="9"/>
      <c r="AI87" s="9"/>
      <c r="AJ87" s="25" t="s">
        <v>20</v>
      </c>
      <c r="AK87" s="25">
        <f t="shared" si="19"/>
        <v>0</v>
      </c>
      <c r="AL87" s="55"/>
    </row>
    <row r="88" spans="1:38" ht="27" customHeight="1" x14ac:dyDescent="0.2">
      <c r="A88" s="103"/>
      <c r="B88" s="104"/>
      <c r="C88" s="16"/>
      <c r="D88" s="7" t="s">
        <v>17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8"/>
      <c r="AD88" s="8"/>
      <c r="AE88" s="8"/>
      <c r="AF88" s="8"/>
      <c r="AG88" s="8"/>
      <c r="AH88" s="9"/>
      <c r="AI88" s="9"/>
      <c r="AJ88" s="23" t="s">
        <v>21</v>
      </c>
      <c r="AK88" s="25">
        <f t="shared" ref="AK88" si="25">COUNTA(E89:AH89,$C$24)*2</f>
        <v>0</v>
      </c>
      <c r="AL88" s="55"/>
    </row>
    <row r="89" spans="1:38" ht="27" customHeight="1" x14ac:dyDescent="0.2">
      <c r="A89" s="103"/>
      <c r="B89" s="104"/>
      <c r="C89" s="17"/>
      <c r="D89" s="10" t="s">
        <v>29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21"/>
      <c r="P89" s="21"/>
      <c r="Q89" s="21"/>
      <c r="R89" s="12"/>
      <c r="S89" s="12"/>
      <c r="T89" s="12"/>
      <c r="U89" s="12"/>
      <c r="V89" s="21"/>
      <c r="W89" s="21"/>
      <c r="X89" s="21"/>
      <c r="Y89" s="21"/>
      <c r="Z89" s="21"/>
      <c r="AA89" s="12"/>
      <c r="AB89" s="12"/>
      <c r="AC89" s="21"/>
      <c r="AD89" s="21"/>
      <c r="AE89" s="11"/>
      <c r="AF89" s="11"/>
      <c r="AG89" s="11"/>
      <c r="AH89" s="12"/>
      <c r="AI89" s="12"/>
      <c r="AJ89" s="28" t="s">
        <v>22</v>
      </c>
      <c r="AK89" s="11">
        <f t="shared" si="21"/>
        <v>0</v>
      </c>
      <c r="AL89" s="55"/>
    </row>
    <row r="90" spans="1:38" ht="27" customHeight="1" x14ac:dyDescent="0.2"/>
    <row r="91" spans="1:38" ht="27" customHeight="1" x14ac:dyDescent="0.2">
      <c r="A91" s="33"/>
      <c r="B91" s="34"/>
      <c r="C91" s="99" t="s">
        <v>25</v>
      </c>
      <c r="D91" s="99"/>
      <c r="E91" s="99"/>
      <c r="F91" s="99"/>
      <c r="G91" s="99"/>
      <c r="H91" s="99"/>
      <c r="I91" s="99"/>
    </row>
    <row r="92" spans="1:38" ht="27" customHeight="1" x14ac:dyDescent="0.2">
      <c r="A92" s="33"/>
      <c r="B92" s="34"/>
    </row>
    <row r="93" spans="1:38" ht="27" customHeight="1" x14ac:dyDescent="0.2">
      <c r="C93" s="112" t="s">
        <v>27</v>
      </c>
      <c r="D93" s="112"/>
      <c r="E93" s="112"/>
      <c r="F93" s="112"/>
      <c r="H93" s="101" t="e">
        <f>SUM($AK$89,$AK$85,$AK$81,$AK$77,$AK$73,$AK$69,$AK$65,$AK$61,$AK$57,$AK$53,$AK$49,$AK$45,$AK$41,$AK$37,$AK$33,$AK$29,$AK$25,$AK$21,#REF!,$AK$17,$AK$13,$AK$9)</f>
        <v>#REF!</v>
      </c>
      <c r="I93" s="101"/>
    </row>
    <row r="94" spans="1:38" x14ac:dyDescent="0.2">
      <c r="C94" s="43" t="s">
        <v>26</v>
      </c>
      <c r="D94" s="35"/>
      <c r="E94" s="35"/>
      <c r="F94" s="35"/>
      <c r="H94" s="101" t="e">
        <f>#REF!</f>
        <v>#REF!</v>
      </c>
      <c r="I94" s="101"/>
    </row>
    <row r="95" spans="1:38" x14ac:dyDescent="0.2">
      <c r="C95" s="110" t="s">
        <v>28</v>
      </c>
      <c r="D95" s="111"/>
      <c r="E95" s="111"/>
      <c r="F95" s="111"/>
      <c r="H95" s="101" t="e">
        <f>SUM($H$93:$I$94)</f>
        <v>#REF!</v>
      </c>
      <c r="I95" s="101"/>
    </row>
    <row r="98" spans="19:19" hidden="1" x14ac:dyDescent="0.2"/>
    <row r="99" spans="19:19" hidden="1" x14ac:dyDescent="0.2"/>
    <row r="103" spans="19:19" x14ac:dyDescent="0.2">
      <c r="S103" s="24"/>
    </row>
  </sheetData>
  <mergeCells count="68">
    <mergeCell ref="AL38:AL41"/>
    <mergeCell ref="AL22:AL25"/>
    <mergeCell ref="AL26:AL29"/>
    <mergeCell ref="AL30:AL33"/>
    <mergeCell ref="AL34:AL37"/>
    <mergeCell ref="AL4:AL5"/>
    <mergeCell ref="AL6:AL9"/>
    <mergeCell ref="AL10:AL13"/>
    <mergeCell ref="AL14:AL17"/>
    <mergeCell ref="AL18:AL21"/>
    <mergeCell ref="H95:I95"/>
    <mergeCell ref="A86:A89"/>
    <mergeCell ref="B86:B89"/>
    <mergeCell ref="C91:I91"/>
    <mergeCell ref="C93:F93"/>
    <mergeCell ref="H93:I93"/>
    <mergeCell ref="H94:I94"/>
    <mergeCell ref="A78:A81"/>
    <mergeCell ref="B78:B81"/>
    <mergeCell ref="A82:A85"/>
    <mergeCell ref="B82:B85"/>
    <mergeCell ref="C95:F95"/>
    <mergeCell ref="A66:A69"/>
    <mergeCell ref="B66:B69"/>
    <mergeCell ref="A70:A73"/>
    <mergeCell ref="B70:B73"/>
    <mergeCell ref="A74:A77"/>
    <mergeCell ref="B74:B77"/>
    <mergeCell ref="A54:A57"/>
    <mergeCell ref="B54:B57"/>
    <mergeCell ref="A58:A61"/>
    <mergeCell ref="B58:B61"/>
    <mergeCell ref="A62:A65"/>
    <mergeCell ref="B62:B65"/>
    <mergeCell ref="A42:A45"/>
    <mergeCell ref="B42:B45"/>
    <mergeCell ref="A46:A49"/>
    <mergeCell ref="B46:B49"/>
    <mergeCell ref="A50:A53"/>
    <mergeCell ref="B50:B53"/>
    <mergeCell ref="A30:A33"/>
    <mergeCell ref="B30:B33"/>
    <mergeCell ref="A34:A37"/>
    <mergeCell ref="B34:B37"/>
    <mergeCell ref="A38:A41"/>
    <mergeCell ref="B38:B41"/>
    <mergeCell ref="A18:A21"/>
    <mergeCell ref="B18:B21"/>
    <mergeCell ref="A22:A25"/>
    <mergeCell ref="B22:B25"/>
    <mergeCell ref="A26:A29"/>
    <mergeCell ref="B26:B29"/>
    <mergeCell ref="A6:A9"/>
    <mergeCell ref="B6:B9"/>
    <mergeCell ref="A10:A13"/>
    <mergeCell ref="B10:B13"/>
    <mergeCell ref="A14:A17"/>
    <mergeCell ref="B14:B17"/>
    <mergeCell ref="O1:X1"/>
    <mergeCell ref="AE1:AK1"/>
    <mergeCell ref="Q2:R2"/>
    <mergeCell ref="U2:V2"/>
    <mergeCell ref="AE2:AK2"/>
    <mergeCell ref="A4:A5"/>
    <mergeCell ref="B4:B5"/>
    <mergeCell ref="C4:C5"/>
    <mergeCell ref="D4:D5"/>
    <mergeCell ref="AJ4:AK5"/>
  </mergeCells>
  <conditionalFormatting sqref="C6:F7 C8:E8 C9:F14 C15:E16 C17:F24">
    <cfRule type="expression" dxfId="1404" priority="2552">
      <formula>$D6="1 - 2"</formula>
    </cfRule>
    <cfRule type="expression" dxfId="1403" priority="2551">
      <formula>$D6="7 - 8"</formula>
    </cfRule>
  </conditionalFormatting>
  <conditionalFormatting sqref="C6:F7 C9:F14 C17:F24 C8:E8 C15:E16">
    <cfRule type="expression" dxfId="1402" priority="2550">
      <formula>OR($D6="3 - 4",$D6="5 - 6")</formula>
    </cfRule>
  </conditionalFormatting>
  <conditionalFormatting sqref="C26:F29 S31">
    <cfRule type="expression" dxfId="1401" priority="2474">
      <formula>OR($D26="3 - 4",$D26="5 - 6")</formula>
    </cfRule>
    <cfRule type="expression" dxfId="1400" priority="2475">
      <formula>$D26="7 - 8"</formula>
    </cfRule>
    <cfRule type="expression" dxfId="1399" priority="2476">
      <formula>$D26="1 - 2"</formula>
    </cfRule>
  </conditionalFormatting>
  <conditionalFormatting sqref="C25:AH25">
    <cfRule type="expression" dxfId="1398" priority="3157">
      <formula>$D25="7 - 8"</formula>
    </cfRule>
    <cfRule type="expression" dxfId="1397" priority="3158">
      <formula>$D25="1 - 2"</formula>
    </cfRule>
    <cfRule type="expression" dxfId="1396" priority="3156">
      <formula>OR($D25="3 - 4",$D25="5 - 6")</formula>
    </cfRule>
  </conditionalFormatting>
  <conditionalFormatting sqref="E8 R27 Z30:AE31 R32 T32:AE32">
    <cfRule type="expression" dxfId="1395" priority="2769">
      <formula>OR(E$5="By",E$5="CN",E$5="")</formula>
    </cfRule>
  </conditionalFormatting>
  <conditionalFormatting sqref="E12">
    <cfRule type="expression" dxfId="1394" priority="719">
      <formula>$D12="1 - 2"</formula>
    </cfRule>
    <cfRule type="expression" dxfId="1393" priority="718">
      <formula>$D12="7 - 8"</formula>
    </cfRule>
    <cfRule type="expression" dxfId="1392" priority="717">
      <formula>OR($D12="3 - 4",$D12="5 - 6")</formula>
    </cfRule>
    <cfRule type="expression" dxfId="1391" priority="716">
      <formula>$D16="1 - 2"</formula>
    </cfRule>
    <cfRule type="expression" dxfId="1390" priority="715">
      <formula>$D16="7 - 8"</formula>
    </cfRule>
    <cfRule type="expression" dxfId="1389" priority="714">
      <formula>OR($D16="3 - 4",$D16="5 - 6")</formula>
    </cfRule>
  </conditionalFormatting>
  <conditionalFormatting sqref="E18:E19">
    <cfRule type="expression" dxfId="1388" priority="536">
      <formula>OR($D22="3 - 4",$D22="5 - 6")</formula>
    </cfRule>
    <cfRule type="expression" dxfId="1387" priority="535">
      <formula>OR(E$5="By",E$5="CN",E$5="")</formula>
    </cfRule>
    <cfRule type="expression" dxfId="1386" priority="533">
      <formula>$D18="7 - 8"</formula>
    </cfRule>
    <cfRule type="expression" dxfId="1385" priority="534">
      <formula>$D18="1 - 2"</formula>
    </cfRule>
    <cfRule type="expression" dxfId="1384" priority="532">
      <formula>OR($D18="3 - 4",$D18="5 - 6")</formula>
    </cfRule>
    <cfRule type="expression" dxfId="1383" priority="538">
      <formula>$D22="1 - 2"</formula>
    </cfRule>
    <cfRule type="expression" dxfId="1382" priority="537">
      <formula>$D22="7 - 8"</formula>
    </cfRule>
    <cfRule type="expression" dxfId="1381" priority="529">
      <formula>OR($D22="3 - 4",$D22="5 - 6")</formula>
    </cfRule>
    <cfRule type="expression" dxfId="1380" priority="530">
      <formula>$D22="7 - 8"</formula>
    </cfRule>
    <cfRule type="expression" dxfId="1379" priority="531">
      <formula>$D22="1 - 2"</formula>
    </cfRule>
  </conditionalFormatting>
  <conditionalFormatting sqref="E30:E36">
    <cfRule type="expression" dxfId="1378" priority="1928">
      <formula>OR(E$5="By",E$5="CN",E$5="")</formula>
    </cfRule>
  </conditionalFormatting>
  <conditionalFormatting sqref="E6:F7 E8 R27:R28 X30:X31 Z30:AA31 N31:Q31 N32:R32 X32:AA32">
    <cfRule type="expression" dxfId="1377" priority="2842">
      <formula>$D10="7 - 8"</formula>
    </cfRule>
    <cfRule type="expression" dxfId="1376" priority="2843">
      <formula>$D10="1 - 2"</formula>
    </cfRule>
  </conditionalFormatting>
  <conditionalFormatting sqref="E6:F7 E8 R27:R28 Z30:AA31 X32:AA32 N31:Q31 N32:R32 X30:X31">
    <cfRule type="expression" dxfId="1375" priority="2841">
      <formula>OR($D10="3 - 4",$D10="5 - 6")</formula>
    </cfRule>
  </conditionalFormatting>
  <conditionalFormatting sqref="E9:F12 E13:G13">
    <cfRule type="expression" dxfId="1374" priority="905">
      <formula>OR(E$5="By",E$5="CN",E$5="")</formula>
    </cfRule>
  </conditionalFormatting>
  <conditionalFormatting sqref="E10:F12">
    <cfRule type="expression" dxfId="1373" priority="2775">
      <formula>$D14="1 - 2"</formula>
    </cfRule>
    <cfRule type="expression" dxfId="1372" priority="2774">
      <formula>$D14="7 - 8"</formula>
    </cfRule>
    <cfRule type="expression" dxfId="1371" priority="2773">
      <formula>OR($D14="3 - 4",$D14="5 - 6")</formula>
    </cfRule>
  </conditionalFormatting>
  <conditionalFormatting sqref="E14:F14 E15:E16">
    <cfRule type="expression" dxfId="1370" priority="2703">
      <formula>$D18="1 - 2"</formula>
    </cfRule>
    <cfRule type="expression" dxfId="1369" priority="2702">
      <formula>$D18="7 - 8"</formula>
    </cfRule>
    <cfRule type="expression" dxfId="1368" priority="2701">
      <formula>OR($D18="3 - 4",$D18="5 - 6")</formula>
    </cfRule>
  </conditionalFormatting>
  <conditionalFormatting sqref="E14:F14 H14:AD14">
    <cfRule type="expression" dxfId="1367" priority="1794">
      <formula>OR(E$5="By",E$5="CN",E$5="")</formula>
    </cfRule>
  </conditionalFormatting>
  <conditionalFormatting sqref="E17:F24">
    <cfRule type="expression" dxfId="1366" priority="2549">
      <formula>OR(E$5="By",E$5="CN",E$5="")</formula>
    </cfRule>
  </conditionalFormatting>
  <conditionalFormatting sqref="E18:F20">
    <cfRule type="expression" dxfId="1365" priority="2629">
      <formula>OR($D22="3 - 4",$D22="5 - 6")</formula>
    </cfRule>
    <cfRule type="expression" dxfId="1364" priority="2630">
      <formula>$D22="7 - 8"</formula>
    </cfRule>
    <cfRule type="expression" dxfId="1363" priority="2631">
      <formula>$D22="1 - 2"</formula>
    </cfRule>
  </conditionalFormatting>
  <conditionalFormatting sqref="E22:F24">
    <cfRule type="expression" dxfId="1362" priority="2555">
      <formula>$D26="1 - 2"</formula>
    </cfRule>
    <cfRule type="expression" dxfId="1361" priority="2554">
      <formula>$D26="7 - 8"</formula>
    </cfRule>
    <cfRule type="expression" dxfId="1360" priority="2553">
      <formula>OR($D26="3 - 4",$D26="5 - 6")</formula>
    </cfRule>
  </conditionalFormatting>
  <conditionalFormatting sqref="E26:F28">
    <cfRule type="expression" dxfId="1359" priority="2477">
      <formula>OR($D30="3 - 4",$D30="5 - 6")</formula>
    </cfRule>
    <cfRule type="expression" dxfId="1358" priority="2479">
      <formula>$D30="1 - 2"</formula>
    </cfRule>
    <cfRule type="expression" dxfId="1357" priority="2478">
      <formula>$D30="7 - 8"</formula>
    </cfRule>
  </conditionalFormatting>
  <conditionalFormatting sqref="E26:F29">
    <cfRule type="expression" dxfId="1356" priority="2209">
      <formula>OR(E$5="By",E$5="CN",E$5="")</formula>
    </cfRule>
  </conditionalFormatting>
  <conditionalFormatting sqref="E6:I7">
    <cfRule type="expression" dxfId="1355" priority="765">
      <formula>OR(E$5="By",E$5="CN",E$5="")</formula>
    </cfRule>
  </conditionalFormatting>
  <conditionalFormatting sqref="E37:I41">
    <cfRule type="expression" dxfId="1354" priority="3403">
      <formula>OR(E$5="By",E$5="CN",E$5="")</formula>
    </cfRule>
  </conditionalFormatting>
  <conditionalFormatting sqref="E25:AH25">
    <cfRule type="expression" dxfId="1353" priority="3091">
      <formula>OR(E$5="By",E$5="CN",E$5="")</formula>
    </cfRule>
  </conditionalFormatting>
  <conditionalFormatting sqref="E4:AI5">
    <cfRule type="expression" dxfId="1352" priority="4395">
      <formula>OR(E$5="By",E$5="CN",E$5="")</formula>
    </cfRule>
  </conditionalFormatting>
  <conditionalFormatting sqref="E42:AI89">
    <cfRule type="expression" dxfId="1351" priority="4632">
      <formula>OR(E$5="By",E$5="CN",E$5="")</formula>
    </cfRule>
  </conditionalFormatting>
  <conditionalFormatting sqref="F7 AE10 AD13">
    <cfRule type="expression" dxfId="1350" priority="1919">
      <formula>OR($D8="3 - 4",$D8="5 - 6")</formula>
    </cfRule>
    <cfRule type="expression" dxfId="1349" priority="1916">
      <formula>$D12="7 - 8"</formula>
    </cfRule>
    <cfRule type="expression" dxfId="1348" priority="1917">
      <formula>$D12="1 - 2"</formula>
    </cfRule>
    <cfRule type="expression" dxfId="1347" priority="1921">
      <formula>$D8="1 - 2"</formula>
    </cfRule>
    <cfRule type="expression" dxfId="1346" priority="1920">
      <formula>$D8="7 - 8"</formula>
    </cfRule>
  </conditionalFormatting>
  <conditionalFormatting sqref="F7">
    <cfRule type="expression" dxfId="1345" priority="1918">
      <formula>OR(F$5="By",F$5="CN",F$5="")</formula>
    </cfRule>
  </conditionalFormatting>
  <conditionalFormatting sqref="F11:F12">
    <cfRule type="expression" dxfId="1344" priority="708">
      <formula>OR($D15="3 - 4",$D15="5 - 6")</formula>
    </cfRule>
    <cfRule type="expression" dxfId="1343" priority="709">
      <formula>$D15="7 - 8"</formula>
    </cfRule>
    <cfRule type="expression" dxfId="1342" priority="713">
      <formula>$D11="1 - 2"</formula>
    </cfRule>
    <cfRule type="expression" dxfId="1341" priority="712">
      <formula>$D11="7 - 8"</formula>
    </cfRule>
    <cfRule type="expression" dxfId="1340" priority="710">
      <formula>$D15="1 - 2"</formula>
    </cfRule>
    <cfRule type="expression" dxfId="1339" priority="711">
      <formula>OR($D11="3 - 4",$D11="5 - 6")</formula>
    </cfRule>
  </conditionalFormatting>
  <conditionalFormatting sqref="F15">
    <cfRule type="expression" dxfId="1338" priority="1694">
      <formula>OR(F$5="By",F$5="CN",F$5="")</formula>
    </cfRule>
    <cfRule type="expression" dxfId="1337" priority="1691">
      <formula>OR($D20="3 - 4",$D20="5 - 6")</formula>
    </cfRule>
    <cfRule type="expression" dxfId="1336" priority="1692">
      <formula>$D20="7 - 8"</formula>
    </cfRule>
    <cfRule type="expression" dxfId="1335" priority="1703">
      <formula>$D19="1 - 2"</formula>
    </cfRule>
    <cfRule type="expression" dxfId="1334" priority="1693">
      <formula>$D20="1 - 2"</formula>
    </cfRule>
    <cfRule type="expression" dxfId="1333" priority="1699">
      <formula>$D15="7 - 8"</formula>
    </cfRule>
    <cfRule type="expression" dxfId="1332" priority="1698">
      <formula>OR($D15="3 - 4",$D15="5 - 6")</formula>
    </cfRule>
    <cfRule type="expression" dxfId="1331" priority="1702">
      <formula>$D19="7 - 8"</formula>
    </cfRule>
    <cfRule type="expression" dxfId="1330" priority="1701">
      <formula>OR($D19="3 - 4",$D19="5 - 6")</formula>
    </cfRule>
    <cfRule type="expression" dxfId="1329" priority="1700">
      <formula>$D15="1 - 2"</formula>
    </cfRule>
    <cfRule type="expression" dxfId="1328" priority="1697">
      <formula>$D16="1 - 2"</formula>
    </cfRule>
    <cfRule type="expression" dxfId="1327" priority="1696">
      <formula>$D16="7 - 8"</formula>
    </cfRule>
    <cfRule type="expression" dxfId="1326" priority="1695">
      <formula>OR($D16="3 - 4",$D16="5 - 6")</formula>
    </cfRule>
  </conditionalFormatting>
  <conditionalFormatting sqref="F30:F31 F33:F35 R41:AI41">
    <cfRule type="expression" dxfId="1325" priority="1877">
      <formula>OR($D30="3 - 4",$D30="5 - 6")</formula>
    </cfRule>
    <cfRule type="expression" dxfId="1324" priority="1878">
      <formula>$D30="7 - 8"</formula>
    </cfRule>
    <cfRule type="expression" dxfId="1323" priority="1879">
      <formula>$D30="1 - 2"</formula>
    </cfRule>
  </conditionalFormatting>
  <conditionalFormatting sqref="F30:F31 R41:AI41">
    <cfRule type="expression" dxfId="1322" priority="1883">
      <formula>OR(F$5="By",F$5="CN",F$5="")</formula>
    </cfRule>
  </conditionalFormatting>
  <conditionalFormatting sqref="F30:F31">
    <cfRule type="expression" dxfId="1321" priority="1886">
      <formula>$D34="7 - 8"</formula>
    </cfRule>
    <cfRule type="expression" dxfId="1320" priority="1885">
      <formula>OR($D34="3 - 4",$D34="5 - 6")</formula>
    </cfRule>
    <cfRule type="expression" dxfId="1319" priority="1887">
      <formula>$D34="1 - 2"</formula>
    </cfRule>
  </conditionalFormatting>
  <conditionalFormatting sqref="F33:I36">
    <cfRule type="expression" dxfId="1318" priority="1872">
      <formula>OR(F$5="By",F$5="CN",F$5="")</formula>
    </cfRule>
  </conditionalFormatting>
  <conditionalFormatting sqref="F36:I41">
    <cfRule type="expression" dxfId="1317" priority="3400">
      <formula>OR($D36="3 - 4",$D36="5 - 6")</formula>
    </cfRule>
    <cfRule type="expression" dxfId="1316" priority="3402">
      <formula>$D36="1 - 2"</formula>
    </cfRule>
    <cfRule type="expression" dxfId="1315" priority="3401">
      <formula>$D36="7 - 8"</formula>
    </cfRule>
  </conditionalFormatting>
  <conditionalFormatting sqref="G10:G12">
    <cfRule type="expression" dxfId="1314" priority="706">
      <formula>$D14="7 - 8"</formula>
    </cfRule>
    <cfRule type="expression" dxfId="1313" priority="704">
      <formula>$D10="1 - 2"</formula>
    </cfRule>
    <cfRule type="expression" dxfId="1312" priority="702">
      <formula>OR($D10="3 - 4",$D10="5 - 6")</formula>
    </cfRule>
    <cfRule type="expression" dxfId="1311" priority="701">
      <formula>OR(G$5="By",G$5="CN",G$5="")</formula>
    </cfRule>
    <cfRule type="expression" dxfId="1310" priority="700">
      <formula>$D10="1 - 2"</formula>
    </cfRule>
    <cfRule type="expression" dxfId="1309" priority="699">
      <formula>$D10="7 - 8"</formula>
    </cfRule>
    <cfRule type="expression" dxfId="1308" priority="698">
      <formula>OR($D10="3 - 4",$D10="5 - 6")</formula>
    </cfRule>
    <cfRule type="expression" dxfId="1307" priority="697">
      <formula>$D14="1 - 2"</formula>
    </cfRule>
    <cfRule type="expression" dxfId="1306" priority="696">
      <formula>$D14="7 - 8"</formula>
    </cfRule>
    <cfRule type="expression" dxfId="1305" priority="695">
      <formula>OR($D14="3 - 4",$D14="5 - 6")</formula>
    </cfRule>
    <cfRule type="expression" dxfId="1304" priority="703">
      <formula>$D10="7 - 8"</formula>
    </cfRule>
    <cfRule type="expression" dxfId="1303" priority="705">
      <formula>OR($D14="3 - 4",$D14="5 - 6")</formula>
    </cfRule>
    <cfRule type="expression" dxfId="1302" priority="707">
      <formula>$D14="1 - 2"</formula>
    </cfRule>
  </conditionalFormatting>
  <conditionalFormatting sqref="G13 G14:I17 H18:I20 G21:I24">
    <cfRule type="expression" dxfId="1301" priority="2596">
      <formula>$D21="1 - 2"</formula>
    </cfRule>
    <cfRule type="expression" dxfId="1300" priority="2595">
      <formula>$D21="7 - 8"</formula>
    </cfRule>
  </conditionalFormatting>
  <conditionalFormatting sqref="G18">
    <cfRule type="expression" dxfId="1299" priority="4705">
      <formula>$D14="7 - 8"</formula>
    </cfRule>
    <cfRule type="expression" dxfId="1298" priority="4695">
      <formula>OR($D15="3 - 4",$D15="5 - 6")</formula>
    </cfRule>
    <cfRule type="expression" dxfId="1297" priority="4697">
      <formula>$D15="1 - 2"</formula>
    </cfRule>
    <cfRule type="expression" dxfId="1296" priority="4704">
      <formula>OR($D14="3 - 4",$D14="5 - 6")</formula>
    </cfRule>
    <cfRule type="expression" dxfId="1295" priority="4703">
      <formula>$D10="1 - 2"</formula>
    </cfRule>
    <cfRule type="expression" dxfId="1294" priority="4702">
      <formula>$D10="7 - 8"</formula>
    </cfRule>
    <cfRule type="expression" dxfId="1293" priority="4701">
      <formula>OR($D10="3 - 4",$D10="5 - 6")</formula>
    </cfRule>
    <cfRule type="expression" dxfId="1292" priority="4700">
      <formula>$D11="1 - 2"</formula>
    </cfRule>
    <cfRule type="expression" dxfId="1291" priority="4699">
      <formula>$D11="7 - 8"</formula>
    </cfRule>
    <cfRule type="expression" dxfId="1290" priority="4698">
      <formula>OR($D11="3 - 4",$D11="5 - 6")</formula>
    </cfRule>
    <cfRule type="expression" dxfId="1289" priority="4706">
      <formula>$D14="1 - 2"</formula>
    </cfRule>
    <cfRule type="expression" dxfId="1288" priority="4696">
      <formula>$D15="7 - 8"</formula>
    </cfRule>
  </conditionalFormatting>
  <conditionalFormatting sqref="G18:G20">
    <cfRule type="expression" dxfId="1287" priority="522">
      <formula>OR(J$5="By",J$5="CN",J$5="")</formula>
    </cfRule>
    <cfRule type="expression" dxfId="1286" priority="523">
      <formula>OR($D18="3 - 4",$D18="5 - 6")</formula>
    </cfRule>
    <cfRule type="expression" dxfId="1285" priority="524">
      <formula>$D18="7 - 8"</formula>
    </cfRule>
    <cfRule type="expression" dxfId="1284" priority="525">
      <formula>$D18="1 - 2"</formula>
    </cfRule>
  </conditionalFormatting>
  <conditionalFormatting sqref="G19:G20">
    <cfRule type="expression" dxfId="1283" priority="507">
      <formula>OR($D27="3 - 4",$D27="5 - 6")</formula>
    </cfRule>
    <cfRule type="expression" dxfId="1282" priority="526">
      <formula>OR($D27="3 - 4",$D27="5 - 6")</formula>
    </cfRule>
    <cfRule type="expression" dxfId="1281" priority="527">
      <formula>$D27="7 - 8"</formula>
    </cfRule>
    <cfRule type="expression" dxfId="1280" priority="508">
      <formula>$D27="7 - 8"</formula>
    </cfRule>
    <cfRule type="expression" dxfId="1279" priority="509">
      <formula>$D27="1 - 2"</formula>
    </cfRule>
    <cfRule type="expression" dxfId="1278" priority="528">
      <formula>$D27="1 - 2"</formula>
    </cfRule>
  </conditionalFormatting>
  <conditionalFormatting sqref="G30">
    <cfRule type="expression" dxfId="1277" priority="1050">
      <formula>$D34="1 - 2"</formula>
    </cfRule>
    <cfRule type="expression" dxfId="1276" priority="1053">
      <formula>$D30="7 - 8"</formula>
    </cfRule>
    <cfRule type="expression" dxfId="1275" priority="1054">
      <formula>$D30="1 - 2"</formula>
    </cfRule>
    <cfRule type="expression" dxfId="1274" priority="1048">
      <formula>OR($D34="3 - 4",$D34="5 - 6")</formula>
    </cfRule>
    <cfRule type="expression" dxfId="1273" priority="1052">
      <formula>OR($D30="3 - 4",$D30="5 - 6")</formula>
    </cfRule>
    <cfRule type="expression" dxfId="1272" priority="1049">
      <formula>$D34="7 - 8"</formula>
    </cfRule>
  </conditionalFormatting>
  <conditionalFormatting sqref="G30:H32">
    <cfRule type="expression" dxfId="1271" priority="1051">
      <formula>OR(G$5="By",G$5="CN",G$5="")</formula>
    </cfRule>
  </conditionalFormatting>
  <conditionalFormatting sqref="G6:I9">
    <cfRule type="expression" dxfId="1270" priority="762">
      <formula>OR($D10="3 - 4",$D10="5 - 6")</formula>
    </cfRule>
    <cfRule type="expression" dxfId="1269" priority="767">
      <formula>$D6="7 - 8"</formula>
    </cfRule>
    <cfRule type="expression" dxfId="1268" priority="766">
      <formula>OR($D6="3 - 4",$D6="5 - 6")</formula>
    </cfRule>
    <cfRule type="expression" dxfId="1267" priority="764">
      <formula>$D10="1 - 2"</formula>
    </cfRule>
    <cfRule type="expression" dxfId="1266" priority="763">
      <formula>$D10="7 - 8"</formula>
    </cfRule>
    <cfRule type="expression" dxfId="1265" priority="768">
      <formula>$D6="1 - 2"</formula>
    </cfRule>
  </conditionalFormatting>
  <conditionalFormatting sqref="G14:I17 H18:I20 G21:I24 G13">
    <cfRule type="expression" dxfId="1264" priority="2594">
      <formula>OR($D21="3 - 4",$D21="5 - 6")</formula>
    </cfRule>
  </conditionalFormatting>
  <conditionalFormatting sqref="G19:I20">
    <cfRule type="expression" dxfId="1263" priority="519">
      <formula>OR($D23="3 - 4",$D23="5 - 6")</formula>
    </cfRule>
    <cfRule type="expression" dxfId="1262" priority="511">
      <formula>$D24="7 - 8"</formula>
    </cfRule>
    <cfRule type="expression" dxfId="1261" priority="517">
      <formula>$D19="7 - 8"</formula>
    </cfRule>
    <cfRule type="expression" dxfId="1260" priority="516">
      <formula>OR($D19="3 - 4",$D19="5 - 6")</formula>
    </cfRule>
    <cfRule type="expression" dxfId="1259" priority="518">
      <formula>$D19="1 - 2"</formula>
    </cfRule>
    <cfRule type="expression" dxfId="1258" priority="520">
      <formula>$D23="7 - 8"</formula>
    </cfRule>
    <cfRule type="expression" dxfId="1257" priority="521">
      <formula>$D23="1 - 2"</formula>
    </cfRule>
    <cfRule type="expression" dxfId="1256" priority="515">
      <formula>$D20="1 - 2"</formula>
    </cfRule>
    <cfRule type="expression" dxfId="1255" priority="514">
      <formula>$D20="7 - 8"</formula>
    </cfRule>
    <cfRule type="expression" dxfId="1254" priority="510">
      <formula>OR($D24="3 - 4",$D24="5 - 6")</formula>
    </cfRule>
    <cfRule type="expression" dxfId="1253" priority="513">
      <formula>OR($D20="3 - 4",$D20="5 - 6")</formula>
    </cfRule>
    <cfRule type="expression" dxfId="1252" priority="512">
      <formula>$D24="1 - 2"</formula>
    </cfRule>
  </conditionalFormatting>
  <conditionalFormatting sqref="G26:I29">
    <cfRule type="expression" dxfId="1251" priority="1075">
      <formula>$D34="7 - 8"</formula>
    </cfRule>
    <cfRule type="expression" dxfId="1250" priority="1076">
      <formula>$D34="1 - 2"</formula>
    </cfRule>
    <cfRule type="expression" dxfId="1249" priority="1074">
      <formula>OR($D34="3 - 4",$D34="5 - 6")</formula>
    </cfRule>
  </conditionalFormatting>
  <conditionalFormatting sqref="G34:I35">
    <cfRule type="expression" dxfId="1248" priority="3912">
      <formula>OR($D34="3 - 4",$D34="5 - 6")</formula>
    </cfRule>
    <cfRule type="expression" dxfId="1247" priority="3917">
      <formula>$D34="7 - 8"</formula>
    </cfRule>
    <cfRule type="expression" dxfId="1246" priority="3918">
      <formula>$D34="1 - 2"</formula>
    </cfRule>
  </conditionalFormatting>
  <conditionalFormatting sqref="G15:K17 G21:W21">
    <cfRule type="expression" dxfId="1245" priority="1398">
      <formula>OR(G$5="By",G$5="CN",G$5="")</formula>
    </cfRule>
  </conditionalFormatting>
  <conditionalFormatting sqref="G18:U20">
    <cfRule type="expression" dxfId="1244" priority="313">
      <formula>OR(G$5="By",G$5="CN",G$5="")</formula>
    </cfRule>
  </conditionalFormatting>
  <conditionalFormatting sqref="H10">
    <cfRule type="expression" dxfId="1243" priority="885">
      <formula>$D14="1 - 2"</formula>
    </cfRule>
    <cfRule type="expression" dxfId="1242" priority="884">
      <formula>$D14="7 - 8"</formula>
    </cfRule>
    <cfRule type="expression" dxfId="1241" priority="883">
      <formula>OR($D14="3 - 4",$D14="5 - 6")</formula>
    </cfRule>
  </conditionalFormatting>
  <conditionalFormatting sqref="H10:H13">
    <cfRule type="expression" dxfId="1240" priority="886">
      <formula>OR($D10="3 - 4",$D10="5 - 6")</formula>
    </cfRule>
    <cfRule type="expression" dxfId="1239" priority="887">
      <formula>$D10="7 - 8"</formula>
    </cfRule>
    <cfRule type="expression" dxfId="1238" priority="888">
      <formula>$D10="1 - 2"</formula>
    </cfRule>
  </conditionalFormatting>
  <conditionalFormatting sqref="H30 G31:H32">
    <cfRule type="expression" dxfId="1237" priority="2208">
      <formula>$D38="1 - 2"</formula>
    </cfRule>
    <cfRule type="expression" dxfId="1236" priority="2207">
      <formula>$D38="7 - 8"</formula>
    </cfRule>
    <cfRule type="expression" dxfId="1235" priority="2206">
      <formula>OR($D38="3 - 4",$D38="5 - 6")</formula>
    </cfRule>
  </conditionalFormatting>
  <conditionalFormatting sqref="H10:I13">
    <cfRule type="expression" dxfId="1234" priority="898">
      <formula>OR(H$5="By",H$5="CN",H$5="")</formula>
    </cfRule>
  </conditionalFormatting>
  <conditionalFormatting sqref="H26:I26 G27:I29">
    <cfRule type="expression" dxfId="1233" priority="1190">
      <formula>OR(G$5="By",G$5="CN",G$5="")</formula>
    </cfRule>
  </conditionalFormatting>
  <conditionalFormatting sqref="H15:J18 H19:I20 H21:J21">
    <cfRule type="expression" dxfId="1232" priority="1297">
      <formula>OR(K$5="By",K$5="CN",K$5="")</formula>
    </cfRule>
  </conditionalFormatting>
  <conditionalFormatting sqref="H15:J18">
    <cfRule type="expression" dxfId="1231" priority="1384">
      <formula>$D16="1 - 2"</formula>
    </cfRule>
    <cfRule type="expression" dxfId="1230" priority="1379">
      <formula>OR($D20="3 - 4",$D20="5 - 6")</formula>
    </cfRule>
    <cfRule type="expression" dxfId="1229" priority="1380">
      <formula>$D20="7 - 8"</formula>
    </cfRule>
    <cfRule type="expression" dxfId="1228" priority="1390">
      <formula>$D19="1 - 2"</formula>
    </cfRule>
    <cfRule type="expression" dxfId="1227" priority="1389">
      <formula>$D19="7 - 8"</formula>
    </cfRule>
    <cfRule type="expression" dxfId="1226" priority="1381">
      <formula>$D20="1 - 2"</formula>
    </cfRule>
    <cfRule type="expression" dxfId="1225" priority="1382">
      <formula>OR($D16="3 - 4",$D16="5 - 6")</formula>
    </cfRule>
    <cfRule type="expression" dxfId="1224" priority="1388">
      <formula>OR($D19="3 - 4",$D19="5 - 6")</formula>
    </cfRule>
    <cfRule type="expression" dxfId="1223" priority="1386">
      <formula>$D15="7 - 8"</formula>
    </cfRule>
    <cfRule type="expression" dxfId="1222" priority="1387">
      <formula>$D15="1 - 2"</formula>
    </cfRule>
    <cfRule type="expression" dxfId="1221" priority="1385">
      <formula>OR($D15="3 - 4",$D15="5 - 6")</formula>
    </cfRule>
    <cfRule type="expression" dxfId="1220" priority="1383">
      <formula>$D16="7 - 8"</formula>
    </cfRule>
  </conditionalFormatting>
  <conditionalFormatting sqref="H21:J21">
    <cfRule type="expression" dxfId="1219" priority="1296">
      <formula>$D25="1 - 2"</formula>
    </cfRule>
    <cfRule type="expression" dxfId="1218" priority="1291">
      <formula>OR($D21="3 - 4",$D21="5 - 6")</formula>
    </cfRule>
    <cfRule type="expression" dxfId="1217" priority="1295">
      <formula>$D25="7 - 8"</formula>
    </cfRule>
    <cfRule type="expression" dxfId="1216" priority="1294">
      <formula>OR($D25="3 - 4",$D25="5 - 6")</formula>
    </cfRule>
    <cfRule type="expression" dxfId="1215" priority="1293">
      <formula>$D21="1 - 2"</formula>
    </cfRule>
    <cfRule type="expression" dxfId="1214" priority="1292">
      <formula>$D21="7 - 8"</formula>
    </cfRule>
    <cfRule type="expression" dxfId="1213" priority="1285">
      <formula>OR($D26="3 - 4",$D26="5 - 6")</formula>
    </cfRule>
    <cfRule type="expression" dxfId="1212" priority="1286">
      <formula>$D26="7 - 8"</formula>
    </cfRule>
    <cfRule type="expression" dxfId="1211" priority="1287">
      <formula>$D26="1 - 2"</formula>
    </cfRule>
    <cfRule type="expression" dxfId="1210" priority="1288">
      <formula>OR($D22="3 - 4",$D22="5 - 6")</formula>
    </cfRule>
    <cfRule type="expression" dxfId="1209" priority="1289">
      <formula>$D22="7 - 8"</formula>
    </cfRule>
    <cfRule type="expression" dxfId="1208" priority="1290">
      <formula>$D22="1 - 2"</formula>
    </cfRule>
  </conditionalFormatting>
  <conditionalFormatting sqref="I10:I13">
    <cfRule type="expression" dxfId="1207" priority="899">
      <formula>OR($D14="3 - 4",$D14="5 - 6")</formula>
    </cfRule>
    <cfRule type="expression" dxfId="1206" priority="900">
      <formula>$D14="7 - 8"</formula>
    </cfRule>
    <cfRule type="expression" dxfId="1205" priority="901">
      <formula>$D14="1 - 2"</formula>
    </cfRule>
    <cfRule type="expression" dxfId="1204" priority="902">
      <formula>OR($D10="3 - 4",$D10="5 - 6")</formula>
    </cfRule>
    <cfRule type="expression" dxfId="1203" priority="903">
      <formula>$D10="7 - 8"</formula>
    </cfRule>
    <cfRule type="expression" dxfId="1202" priority="904">
      <formula>$D10="1 - 2"</formula>
    </cfRule>
  </conditionalFormatting>
  <conditionalFormatting sqref="J6">
    <cfRule type="expression" dxfId="1201" priority="1908">
      <formula>OR($D10="3 - 4",$D10="5 - 6")</formula>
    </cfRule>
    <cfRule type="expression" dxfId="1200" priority="1909">
      <formula>$D10="7 - 8"</formula>
    </cfRule>
    <cfRule type="expression" dxfId="1199" priority="1910">
      <formula>$D10="1 - 2"</formula>
    </cfRule>
    <cfRule type="expression" dxfId="1198" priority="1912">
      <formula>OR($D6="3 - 4",$D6="5 - 6")</formula>
    </cfRule>
    <cfRule type="expression" dxfId="1197" priority="1913">
      <formula>$D6="7 - 8"</formula>
    </cfRule>
    <cfRule type="expression" dxfId="1196" priority="1914">
      <formula>$D6="1 - 2"</formula>
    </cfRule>
  </conditionalFormatting>
  <conditionalFormatting sqref="J10">
    <cfRule type="expression" dxfId="1195" priority="873">
      <formula>$D10="1 - 2"</formula>
    </cfRule>
    <cfRule type="expression" dxfId="1194" priority="869">
      <formula>$D14="7 - 8"</formula>
    </cfRule>
    <cfRule type="expression" dxfId="1193" priority="870">
      <formula>$D14="1 - 2"</formula>
    </cfRule>
    <cfRule type="expression" dxfId="1192" priority="871">
      <formula>OR($D10="3 - 4",$D10="5 - 6")</formula>
    </cfRule>
    <cfRule type="expression" dxfId="1191" priority="872">
      <formula>$D10="7 - 8"</formula>
    </cfRule>
    <cfRule type="expression" dxfId="1190" priority="868">
      <formula>OR($D14="3 - 4",$D14="5 - 6")</formula>
    </cfRule>
  </conditionalFormatting>
  <conditionalFormatting sqref="J11 J13 G14:J14 G26:I26 H27:I29">
    <cfRule type="expression" dxfId="1189" priority="1759">
      <formula>$D11="1 - 2"</formula>
    </cfRule>
    <cfRule type="expression" dxfId="1188" priority="1758">
      <formula>$D11="7 - 8"</formula>
    </cfRule>
    <cfRule type="expression" dxfId="1187" priority="4657">
      <formula>OR(J$5="By",J$5="CN",J$5="")</formula>
    </cfRule>
    <cfRule type="expression" dxfId="1186" priority="1760">
      <formula>OR($D15="3 - 4",$D15="5 - 6")</formula>
    </cfRule>
    <cfRule type="expression" dxfId="1185" priority="1761">
      <formula>$D15="7 - 8"</formula>
    </cfRule>
    <cfRule type="expression" dxfId="1184" priority="1762">
      <formula>$D15="1 - 2"</formula>
    </cfRule>
    <cfRule type="expression" dxfId="1183" priority="1750">
      <formula>$D16="7 - 8"</formula>
    </cfRule>
    <cfRule type="expression" dxfId="1182" priority="1755">
      <formula>$D12="1 - 2"</formula>
    </cfRule>
    <cfRule type="expression" dxfId="1181" priority="1754">
      <formula>$D12="7 - 8"</formula>
    </cfRule>
    <cfRule type="expression" dxfId="1180" priority="1753">
      <formula>OR($D12="3 - 4",$D12="5 - 6")</formula>
    </cfRule>
    <cfRule type="expression" dxfId="1179" priority="1751">
      <formula>$D16="1 - 2"</formula>
    </cfRule>
    <cfRule type="expression" dxfId="1178" priority="1749">
      <formula>OR($D16="3 - 4",$D16="5 - 6")</formula>
    </cfRule>
    <cfRule type="expression" dxfId="1177" priority="1757">
      <formula>OR($D11="3 - 4",$D11="5 - 6")</formula>
    </cfRule>
  </conditionalFormatting>
  <conditionalFormatting sqref="J11">
    <cfRule type="expression" dxfId="1176" priority="2790">
      <formula>$D19="7 - 8"</formula>
    </cfRule>
    <cfRule type="expression" dxfId="1175" priority="1604">
      <formula>$D19="1 - 2"</formula>
    </cfRule>
    <cfRule type="expression" dxfId="1174" priority="2789">
      <formula>OR($D19="3 - 4",$D19="5 - 6")</formula>
    </cfRule>
    <cfRule type="expression" dxfId="1173" priority="1603">
      <formula>$D19="7 - 8"</formula>
    </cfRule>
    <cfRule type="expression" dxfId="1172" priority="1602">
      <formula>OR($D19="3 - 4",$D19="5 - 6")</formula>
    </cfRule>
    <cfRule type="expression" dxfId="1171" priority="2791">
      <formula>$D19="1 - 2"</formula>
    </cfRule>
  </conditionalFormatting>
  <conditionalFormatting sqref="J12">
    <cfRule type="expression" dxfId="1170" priority="863">
      <formula>$D16="1 - 2"</formula>
    </cfRule>
    <cfRule type="expression" dxfId="1169" priority="864">
      <formula>OR($D12="3 - 4",$D12="5 - 6")</formula>
    </cfRule>
    <cfRule type="expression" dxfId="1168" priority="865">
      <formula>$D12="7 - 8"</formula>
    </cfRule>
    <cfRule type="expression" dxfId="1167" priority="866">
      <formula>$D12="1 - 2"</formula>
    </cfRule>
    <cfRule type="expression" dxfId="1166" priority="861">
      <formula>OR($D16="3 - 4",$D16="5 - 6")</formula>
    </cfRule>
    <cfRule type="expression" dxfId="1165" priority="862">
      <formula>$D16="7 - 8"</formula>
    </cfRule>
  </conditionalFormatting>
  <conditionalFormatting sqref="J13:J16">
    <cfRule type="expression" dxfId="1164" priority="1463">
      <formula>OR($D21="3 - 4",$D21="5 - 6")</formula>
    </cfRule>
    <cfRule type="expression" dxfId="1163" priority="1464">
      <formula>$D21="7 - 8"</formula>
    </cfRule>
    <cfRule type="expression" dxfId="1162" priority="1465">
      <formula>$D21="1 - 2"</formula>
    </cfRule>
  </conditionalFormatting>
  <conditionalFormatting sqref="J17:J18">
    <cfRule type="expression" dxfId="1161" priority="1313">
      <formula>$D25="1 - 2"</formula>
    </cfRule>
    <cfRule type="expression" dxfId="1160" priority="1312">
      <formula>$D25="7 - 8"</formula>
    </cfRule>
    <cfRule type="expression" dxfId="1159" priority="1311">
      <formula>OR($D25="3 - 4",$D25="5 - 6")</formula>
    </cfRule>
  </conditionalFormatting>
  <conditionalFormatting sqref="J19:J20">
    <cfRule type="expression" dxfId="1158" priority="493">
      <formula>$D19="7 - 8"</formula>
    </cfRule>
    <cfRule type="expression" dxfId="1157" priority="505">
      <formula>$D23="1 - 2"</formula>
    </cfRule>
    <cfRule type="expression" dxfId="1156" priority="504">
      <formula>$D23="7 - 8"</formula>
    </cfRule>
    <cfRule type="expression" dxfId="1155" priority="503">
      <formula>OR($D23="3 - 4",$D23="5 - 6")</formula>
    </cfRule>
    <cfRule type="expression" dxfId="1154" priority="502">
      <formula>$D19="1 - 2"</formula>
    </cfRule>
    <cfRule type="expression" dxfId="1153" priority="501">
      <formula>$D19="7 - 8"</formula>
    </cfRule>
    <cfRule type="expression" dxfId="1152" priority="500">
      <formula>OR($D19="3 - 4",$D19="5 - 6")</formula>
    </cfRule>
    <cfRule type="expression" dxfId="1151" priority="498">
      <formula>$D23="1 - 2"</formula>
    </cfRule>
    <cfRule type="expression" dxfId="1150" priority="497">
      <formula>$D23="7 - 8"</formula>
    </cfRule>
    <cfRule type="expression" dxfId="1149" priority="496">
      <formula>OR($D23="3 - 4",$D23="5 - 6")</formula>
    </cfRule>
    <cfRule type="expression" dxfId="1148" priority="492">
      <formula>OR($D19="3 - 4",$D19="5 - 6")</formula>
    </cfRule>
    <cfRule type="expression" dxfId="1147" priority="494">
      <formula>$D19="1 - 2"</formula>
    </cfRule>
  </conditionalFormatting>
  <conditionalFormatting sqref="J21">
    <cfRule type="expression" dxfId="1146" priority="1282">
      <formula>OR($D29="3 - 4",$D29="5 - 6")</formula>
    </cfRule>
    <cfRule type="expression" dxfId="1145" priority="1284">
      <formula>$D29="1 - 2"</formula>
    </cfRule>
    <cfRule type="expression" dxfId="1144" priority="1283">
      <formula>$D29="7 - 8"</formula>
    </cfRule>
  </conditionalFormatting>
  <conditionalFormatting sqref="J26">
    <cfRule type="expression" dxfId="1143" priority="51">
      <formula>$D26="1 - 2"</formula>
    </cfRule>
    <cfRule type="expression" dxfId="1142" priority="50">
      <formula>$D26="7 - 8"</formula>
    </cfRule>
    <cfRule type="expression" dxfId="1141" priority="49">
      <formula>OR($D26="3 - 4",$D26="5 - 6")</formula>
    </cfRule>
    <cfRule type="expression" dxfId="1140" priority="48">
      <formula>$D30="1 - 2"</formula>
    </cfRule>
    <cfRule type="expression" dxfId="1139" priority="47">
      <formula>$D30="7 - 8"</formula>
    </cfRule>
    <cfRule type="expression" dxfId="1138" priority="46">
      <formula>OR($D30="3 - 4",$D30="5 - 6")</formula>
    </cfRule>
  </conditionalFormatting>
  <conditionalFormatting sqref="J30:J41">
    <cfRule type="expression" dxfId="1137" priority="979">
      <formula>OR($D30="3 - 4",$D30="5 - 6")</formula>
    </cfRule>
    <cfRule type="expression" dxfId="1136" priority="978">
      <formula>$D34="1 - 2"</formula>
    </cfRule>
    <cfRule type="expression" dxfId="1135" priority="977">
      <formula>$D34="7 - 8"</formula>
    </cfRule>
    <cfRule type="expression" dxfId="1134" priority="976">
      <formula>OR($D34="3 - 4",$D34="5 - 6")</formula>
    </cfRule>
    <cfRule type="expression" dxfId="1133" priority="981">
      <formula>$D30="1 - 2"</formula>
    </cfRule>
    <cfRule type="expression" dxfId="1132" priority="980">
      <formula>$D30="7 - 8"</formula>
    </cfRule>
  </conditionalFormatting>
  <conditionalFormatting sqref="J31:J33">
    <cfRule type="expression" dxfId="1131" priority="1888">
      <formula>OR($D39="3 - 4",$D39="5 - 6")</formula>
    </cfRule>
    <cfRule type="expression" dxfId="1130" priority="1889">
      <formula>$D39="7 - 8"</formula>
    </cfRule>
    <cfRule type="expression" dxfId="1129" priority="1890">
      <formula>$D39="1 - 2"</formula>
    </cfRule>
  </conditionalFormatting>
  <conditionalFormatting sqref="J6:K8">
    <cfRule type="expression" dxfId="1128" priority="758">
      <formula>OR(J$5="By",J$5="CN",J$5="")</formula>
    </cfRule>
  </conditionalFormatting>
  <conditionalFormatting sqref="J15:K16 K14">
    <cfRule type="expression" dxfId="1127" priority="1543">
      <formula>OR($D22="3 - 4",$D22="5 - 6")</formula>
    </cfRule>
  </conditionalFormatting>
  <conditionalFormatting sqref="J17:K17">
    <cfRule type="expression" dxfId="1126" priority="1546">
      <formula>OR($D17="3 - 4",$D17="5 - 6")</formula>
    </cfRule>
    <cfRule type="expression" dxfId="1125" priority="1548">
      <formula>$D17="1 - 2"</formula>
    </cfRule>
    <cfRule type="expression" dxfId="1124" priority="1547">
      <formula>$D17="7 - 8"</formula>
    </cfRule>
  </conditionalFormatting>
  <conditionalFormatting sqref="J19:K20">
    <cfRule type="expression" dxfId="1123" priority="465">
      <formula>$D23="1 - 2"</formula>
    </cfRule>
    <cfRule type="expression" dxfId="1122" priority="464">
      <formula>$D23="7 - 8"</formula>
    </cfRule>
    <cfRule type="expression" dxfId="1121" priority="463">
      <formula>OR($D23="3 - 4",$D23="5 - 6")</formula>
    </cfRule>
  </conditionalFormatting>
  <conditionalFormatting sqref="J22:K24">
    <cfRule type="expression" dxfId="1120" priority="2571">
      <formula>$D30="1 - 2"</formula>
    </cfRule>
    <cfRule type="expression" dxfId="1119" priority="2570">
      <formula>$D30="7 - 8"</formula>
    </cfRule>
    <cfRule type="expression" dxfId="1118" priority="2569">
      <formula>OR($D30="3 - 4",$D30="5 - 6")</formula>
    </cfRule>
  </conditionalFormatting>
  <conditionalFormatting sqref="J30:Q41">
    <cfRule type="expression" dxfId="1117" priority="975">
      <formula>OR(J$5="By",J$5="CN",J$5="")</formula>
    </cfRule>
  </conditionalFormatting>
  <conditionalFormatting sqref="J21:W21 Y21:AA21">
    <cfRule type="expression" dxfId="1116" priority="1396">
      <formula>$D21="1 - 2"</formula>
    </cfRule>
    <cfRule type="expression" dxfId="1115" priority="1394">
      <formula>OR($D21="3 - 4",$D21="5 - 6")</formula>
    </cfRule>
    <cfRule type="expression" dxfId="1114" priority="1395">
      <formula>$D21="7 - 8"</formula>
    </cfRule>
  </conditionalFormatting>
  <conditionalFormatting sqref="J10:Y12">
    <cfRule type="expression" dxfId="1113" priority="571">
      <formula>OR(J$5="By",J$5="CN",J$5="")</formula>
    </cfRule>
  </conditionalFormatting>
  <conditionalFormatting sqref="J29:Z29">
    <cfRule type="expression" dxfId="1112" priority="75">
      <formula>$D29="1 - 2"</formula>
    </cfRule>
    <cfRule type="expression" dxfId="1111" priority="74">
      <formula>$D29="7 - 8"</formula>
    </cfRule>
    <cfRule type="expression" dxfId="1110" priority="73">
      <formula>OR($D29="3 - 4",$D29="5 - 6")</formula>
    </cfRule>
  </conditionalFormatting>
  <conditionalFormatting sqref="J9:AA9">
    <cfRule type="expression" dxfId="1109" priority="3042">
      <formula>$D9="7 - 8"</formula>
    </cfRule>
    <cfRule type="expression" dxfId="1108" priority="3041">
      <formula>OR($D9="3 - 4",$D9="5 - 6")</formula>
    </cfRule>
    <cfRule type="expression" dxfId="1107" priority="3043">
      <formula>$D9="1 - 2"</formula>
    </cfRule>
  </conditionalFormatting>
  <conditionalFormatting sqref="J13:AA13">
    <cfRule type="expression" dxfId="1106" priority="3026">
      <formula>$D13="1 - 2"</formula>
    </cfRule>
    <cfRule type="expression" dxfId="1105" priority="3025">
      <formula>$D13="7 - 8"</formula>
    </cfRule>
    <cfRule type="expression" dxfId="1104" priority="3024">
      <formula>OR($D13="3 - 4",$D13="5 - 6")</formula>
    </cfRule>
  </conditionalFormatting>
  <conditionalFormatting sqref="J9:AC9">
    <cfRule type="expression" dxfId="1103" priority="1752">
      <formula>OR(J$5="By",J$5="CN",J$5="")</formula>
    </cfRule>
  </conditionalFormatting>
  <conditionalFormatting sqref="J26:AI29">
    <cfRule type="expression" dxfId="1102" priority="1">
      <formula>OR(J$5="By",J$5="CN",J$5="")</formula>
    </cfRule>
  </conditionalFormatting>
  <conditionalFormatting sqref="K6 J7:J8">
    <cfRule type="expression" dxfId="1101" priority="3040">
      <formula>$D14="1 - 2"</formula>
    </cfRule>
    <cfRule type="expression" dxfId="1100" priority="3039">
      <formula>$D14="7 - 8"</formula>
    </cfRule>
    <cfRule type="expression" dxfId="1099" priority="3038">
      <formula>OR($D14="3 - 4",$D14="5 - 6")</formula>
    </cfRule>
  </conditionalFormatting>
  <conditionalFormatting sqref="K7:K8">
    <cfRule type="expression" dxfId="1098" priority="761">
      <formula>$D7="1 - 2"</formula>
    </cfRule>
    <cfRule type="expression" dxfId="1097" priority="760">
      <formula>$D7="7 - 8"</formula>
    </cfRule>
    <cfRule type="expression" dxfId="1096" priority="759">
      <formula>OR($D7="3 - 4",$D7="5 - 6")</formula>
    </cfRule>
    <cfRule type="expression" dxfId="1095" priority="757">
      <formula>$D11="1 - 2"</formula>
    </cfRule>
    <cfRule type="expression" dxfId="1094" priority="756">
      <formula>$D11="7 - 8"</formula>
    </cfRule>
    <cfRule type="expression" dxfId="1093" priority="755">
      <formula>OR($D11="3 - 4",$D11="5 - 6")</formula>
    </cfRule>
  </conditionalFormatting>
  <conditionalFormatting sqref="K10:K12">
    <cfRule type="expression" dxfId="1092" priority="694">
      <formula>$D14="1 - 2"</formula>
    </cfRule>
    <cfRule type="expression" dxfId="1091" priority="693">
      <formula>$D14="7 - 8"</formula>
    </cfRule>
    <cfRule type="expression" dxfId="1090" priority="692">
      <formula>OR($D14="3 - 4",$D14="5 - 6")</formula>
    </cfRule>
    <cfRule type="expression" dxfId="1089" priority="691">
      <formula>$D10="1 - 2"</formula>
    </cfRule>
    <cfRule type="expression" dxfId="1088" priority="690">
      <formula>$D10="7 - 8"</formula>
    </cfRule>
    <cfRule type="expression" dxfId="1087" priority="689">
      <formula>OR($D10="3 - 4",$D10="5 - 6")</formula>
    </cfRule>
    <cfRule type="expression" dxfId="1086" priority="687">
      <formula>$D10="1 - 2"</formula>
    </cfRule>
    <cfRule type="expression" dxfId="1085" priority="686">
      <formula>$D10="7 - 8"</formula>
    </cfRule>
    <cfRule type="expression" dxfId="1084" priority="685">
      <formula>OR($D10="3 - 4",$D10="5 - 6")</formula>
    </cfRule>
  </conditionalFormatting>
  <conditionalFormatting sqref="K14 J15:K16">
    <cfRule type="expression" dxfId="1083" priority="1545">
      <formula>$D22="1 - 2"</formula>
    </cfRule>
    <cfRule type="expression" dxfId="1082" priority="1544">
      <formula>$D22="7 - 8"</formula>
    </cfRule>
  </conditionalFormatting>
  <conditionalFormatting sqref="K14:K16">
    <cfRule type="expression" dxfId="1081" priority="1417">
      <formula>$D22="1 - 2"</formula>
    </cfRule>
    <cfRule type="expression" dxfId="1080" priority="1432">
      <formula>$D14="7 - 8"</formula>
    </cfRule>
    <cfRule type="expression" dxfId="1079" priority="1421">
      <formula>OR($D15="3 - 4",$D15="5 - 6")</formula>
    </cfRule>
    <cfRule type="expression" dxfId="1078" priority="1422">
      <formula>$D15="7 - 8"</formula>
    </cfRule>
    <cfRule type="expression" dxfId="1077" priority="1423">
      <formula>$D15="1 - 2"</formula>
    </cfRule>
    <cfRule type="expression" dxfId="1076" priority="1424">
      <formula>OR($D14="3 - 4",$D14="5 - 6")</formula>
    </cfRule>
    <cfRule type="expression" dxfId="1075" priority="1425">
      <formula>$D14="7 - 8"</formula>
    </cfRule>
    <cfRule type="expression" dxfId="1074" priority="1426">
      <formula>$D14="1 - 2"</formula>
    </cfRule>
    <cfRule type="expression" dxfId="1073" priority="1415">
      <formula>OR($D22="3 - 4",$D22="5 - 6")</formula>
    </cfRule>
    <cfRule type="expression" dxfId="1072" priority="1433">
      <formula>$D14="1 - 2"</formula>
    </cfRule>
    <cfRule type="expression" dxfId="1071" priority="1416">
      <formula>$D22="7 - 8"</formula>
    </cfRule>
    <cfRule type="expression" dxfId="1070" priority="1418">
      <formula>OR($D19="3 - 4",$D19="5 - 6")</formula>
    </cfRule>
    <cfRule type="expression" dxfId="1069" priority="1419">
      <formula>$D19="7 - 8"</formula>
    </cfRule>
    <cfRule type="expression" dxfId="1068" priority="1420">
      <formula>$D19="1 - 2"</formula>
    </cfRule>
    <cfRule type="expression" dxfId="1067" priority="1427">
      <formula>OR($D18="3 - 4",$D18="5 - 6")</formula>
    </cfRule>
    <cfRule type="expression" dxfId="1066" priority="1428">
      <formula>$D18="7 - 8"</formula>
    </cfRule>
    <cfRule type="expression" dxfId="1065" priority="1429">
      <formula>$D18="1 - 2"</formula>
    </cfRule>
    <cfRule type="expression" dxfId="1064" priority="1430">
      <formula>OR(N$5="By",N$5="CN",N$5="")</formula>
    </cfRule>
    <cfRule type="expression" dxfId="1063" priority="1431">
      <formula>OR($D14="3 - 4",$D14="5 - 6")</formula>
    </cfRule>
  </conditionalFormatting>
  <conditionalFormatting sqref="K18 U18:U19">
    <cfRule type="expression" dxfId="1062" priority="483">
      <formula>OR($D18="3 - 4",$D18="5 - 6")</formula>
    </cfRule>
    <cfRule type="expression" dxfId="1061" priority="484">
      <formula>$D18="7 - 8"</formula>
    </cfRule>
    <cfRule type="expression" dxfId="1060" priority="485">
      <formula>$D18="1 - 2"</formula>
    </cfRule>
    <cfRule type="expression" dxfId="1059" priority="482">
      <formula>OR(N$5="By",N$5="CN",N$5="")</formula>
    </cfRule>
    <cfRule type="expression" dxfId="1058" priority="481">
      <formula>$D22="1 - 2"</formula>
    </cfRule>
    <cfRule type="expression" dxfId="1057" priority="480">
      <formula>$D22="7 - 8"</formula>
    </cfRule>
    <cfRule type="expression" dxfId="1056" priority="479">
      <formula>OR($D22="3 - 4",$D22="5 - 6")</formula>
    </cfRule>
    <cfRule type="expression" dxfId="1055" priority="478">
      <formula>$D18="1 - 2"</formula>
    </cfRule>
    <cfRule type="expression" dxfId="1054" priority="477">
      <formula>$D18="7 - 8"</formula>
    </cfRule>
    <cfRule type="expression" dxfId="1053" priority="476">
      <formula>OR($D18="3 - 4",$D18="5 - 6")</formula>
    </cfRule>
    <cfRule type="expression" dxfId="1052" priority="475">
      <formula>$D19="1 - 2"</formula>
    </cfRule>
    <cfRule type="expression" dxfId="1051" priority="474">
      <formula>$D19="7 - 8"</formula>
    </cfRule>
    <cfRule type="expression" dxfId="1050" priority="473">
      <formula>OR($D19="3 - 4",$D19="5 - 6")</formula>
    </cfRule>
    <cfRule type="expression" dxfId="1049" priority="472">
      <formula>$D23="1 - 2"</formula>
    </cfRule>
    <cfRule type="expression" dxfId="1048" priority="471">
      <formula>$D23="7 - 8"</formula>
    </cfRule>
    <cfRule type="expression" dxfId="1047" priority="470">
      <formula>OR($D23="3 - 4",$D23="5 - 6")</formula>
    </cfRule>
    <cfRule type="expression" dxfId="1046" priority="486">
      <formula>OR($D26="3 - 4",$D26="5 - 6")</formula>
    </cfRule>
    <cfRule type="expression" dxfId="1045" priority="467">
      <formula>OR($D26="3 - 4",$D26="5 - 6")</formula>
    </cfRule>
    <cfRule type="expression" dxfId="1044" priority="487">
      <formula>$D26="7 - 8"</formula>
    </cfRule>
    <cfRule type="expression" dxfId="1043" priority="469">
      <formula>$D26="1 - 2"</formula>
    </cfRule>
    <cfRule type="expression" dxfId="1042" priority="468">
      <formula>$D26="7 - 8"</formula>
    </cfRule>
    <cfRule type="expression" dxfId="1041" priority="488">
      <formula>$D26="1 - 2"</formula>
    </cfRule>
  </conditionalFormatting>
  <conditionalFormatting sqref="K19:K20">
    <cfRule type="expression" dxfId="1040" priority="450">
      <formula>$D23="7 - 8"</formula>
    </cfRule>
    <cfRule type="expression" dxfId="1039" priority="451">
      <formula>$D23="1 - 2"</formula>
    </cfRule>
    <cfRule type="expression" dxfId="1038" priority="462">
      <formula>$D19="1 - 2"</formula>
    </cfRule>
    <cfRule type="expression" dxfId="1037" priority="461">
      <formula>$D19="7 - 8"</formula>
    </cfRule>
    <cfRule type="expression" dxfId="1036" priority="460">
      <formula>OR($D19="3 - 4",$D19="5 - 6")</formula>
    </cfRule>
    <cfRule type="expression" dxfId="1035" priority="449">
      <formula>OR($D23="3 - 4",$D23="5 - 6")</formula>
    </cfRule>
    <cfRule type="expression" dxfId="1034" priority="458">
      <formula>$D23="1 - 2"</formula>
    </cfRule>
    <cfRule type="expression" dxfId="1033" priority="457">
      <formula>$D23="7 - 8"</formula>
    </cfRule>
    <cfRule type="expression" dxfId="1032" priority="456">
      <formula>OR($D23="3 - 4",$D23="5 - 6")</formula>
    </cfRule>
    <cfRule type="expression" dxfId="1031" priority="454">
      <formula>$D19="1 - 2"</formula>
    </cfRule>
    <cfRule type="expression" dxfId="1030" priority="453">
      <formula>$D19="7 - 8"</formula>
    </cfRule>
    <cfRule type="expression" dxfId="1029" priority="452">
      <formula>OR($D19="3 - 4",$D19="5 - 6")</formula>
    </cfRule>
  </conditionalFormatting>
  <conditionalFormatting sqref="K26 J27:J28">
    <cfRule type="expression" dxfId="1028" priority="72">
      <formula>$D34="1 - 2"</formula>
    </cfRule>
    <cfRule type="expression" dxfId="1027" priority="71">
      <formula>$D34="7 - 8"</formula>
    </cfRule>
    <cfRule type="expression" dxfId="1026" priority="70">
      <formula>OR($D34="3 - 4",$D34="5 - 6")</formula>
    </cfRule>
  </conditionalFormatting>
  <conditionalFormatting sqref="K27:K28">
    <cfRule type="expression" dxfId="1025" priority="29">
      <formula>$D31="7 - 8"</formula>
    </cfRule>
    <cfRule type="expression" dxfId="1024" priority="30">
      <formula>$D31="1 - 2"</formula>
    </cfRule>
    <cfRule type="expression" dxfId="1023" priority="32">
      <formula>OR($D27="3 - 4",$D27="5 - 6")</formula>
    </cfRule>
    <cfRule type="expression" dxfId="1022" priority="33">
      <formula>$D27="7 - 8"</formula>
    </cfRule>
    <cfRule type="expression" dxfId="1021" priority="28">
      <formula>OR($D31="3 - 4",$D31="5 - 6")</formula>
    </cfRule>
    <cfRule type="expression" dxfId="1020" priority="34">
      <formula>$D27="1 - 2"</formula>
    </cfRule>
  </conditionalFormatting>
  <conditionalFormatting sqref="K30:K32">
    <cfRule type="expression" dxfId="1019" priority="2417">
      <formula>OR($D38="3 - 4",$D38="5 - 6")</formula>
    </cfRule>
    <cfRule type="expression" dxfId="1018" priority="2418">
      <formula>$D38="7 - 8"</formula>
    </cfRule>
    <cfRule type="expression" dxfId="1017" priority="2419">
      <formula>$D38="1 - 2"</formula>
    </cfRule>
  </conditionalFormatting>
  <conditionalFormatting sqref="K10:L12">
    <cfRule type="expression" dxfId="1016" priority="681">
      <formula>$D14="1 - 2"</formula>
    </cfRule>
    <cfRule type="expression" dxfId="1015" priority="680">
      <formula>$D14="7 - 8"</formula>
    </cfRule>
    <cfRule type="expression" dxfId="1014" priority="679">
      <formula>OR($D14="3 - 4",$D14="5 - 6")</formula>
    </cfRule>
  </conditionalFormatting>
  <conditionalFormatting sqref="K33:L33 U33:Z33">
    <cfRule type="expression" dxfId="1013" priority="1990">
      <formula>$D33="7 - 8"</formula>
    </cfRule>
    <cfRule type="expression" dxfId="1012" priority="1991">
      <formula>$D33="1 - 2"</formula>
    </cfRule>
  </conditionalFormatting>
  <conditionalFormatting sqref="K38:Q41">
    <cfRule type="expression" dxfId="1011" priority="3420">
      <formula>OR($D38="3 - 4",$D38="5 - 6")</formula>
    </cfRule>
    <cfRule type="expression" dxfId="1010" priority="3422">
      <formula>$D38="1 - 2"</formula>
    </cfRule>
    <cfRule type="expression" dxfId="1009" priority="3421">
      <formula>$D38="7 - 8"</formula>
    </cfRule>
  </conditionalFormatting>
  <conditionalFormatting sqref="K34:AI37">
    <cfRule type="expression" dxfId="1008" priority="2945">
      <formula>$D34="1 - 2"</formula>
    </cfRule>
    <cfRule type="expression" dxfId="1007" priority="2944">
      <formula>$D34="7 - 8"</formula>
    </cfRule>
    <cfRule type="expression" dxfId="1006" priority="2943">
      <formula>OR($D34="3 - 4",$D34="5 - 6")</formula>
    </cfRule>
  </conditionalFormatting>
  <conditionalFormatting sqref="L6:L7">
    <cfRule type="expression" dxfId="1005" priority="750">
      <formula>$D10="1 - 2"</formula>
    </cfRule>
    <cfRule type="expression" dxfId="1004" priority="754">
      <formula>$D6="1 - 2"</formula>
    </cfRule>
    <cfRule type="expression" dxfId="1003" priority="748">
      <formula>OR($D10="3 - 4",$D10="5 - 6")</formula>
    </cfRule>
    <cfRule type="expression" dxfId="1002" priority="749">
      <formula>$D10="7 - 8"</formula>
    </cfRule>
    <cfRule type="expression" dxfId="1001" priority="753">
      <formula>$D6="7 - 8"</formula>
    </cfRule>
    <cfRule type="expression" dxfId="1000" priority="752">
      <formula>OR($D6="3 - 4",$D6="5 - 6")</formula>
    </cfRule>
  </conditionalFormatting>
  <conditionalFormatting sqref="L10:L12">
    <cfRule type="expression" dxfId="999" priority="669">
      <formula>OR($D14="3 - 4",$D14="5 - 6")</formula>
    </cfRule>
    <cfRule type="expression" dxfId="998" priority="670">
      <formula>$D14="7 - 8"</formula>
    </cfRule>
    <cfRule type="expression" dxfId="997" priority="671">
      <formula>$D14="1 - 2"</formula>
    </cfRule>
    <cfRule type="expression" dxfId="996" priority="672">
      <formula>OR($D10="3 - 4",$D10="5 - 6")</formula>
    </cfRule>
    <cfRule type="expression" dxfId="995" priority="673">
      <formula>$D10="7 - 8"</formula>
    </cfRule>
    <cfRule type="expression" dxfId="994" priority="674">
      <formula>$D10="1 - 2"</formula>
    </cfRule>
    <cfRule type="expression" dxfId="993" priority="676">
      <formula>OR($D10="3 - 4",$D10="5 - 6")</formula>
    </cfRule>
    <cfRule type="expression" dxfId="992" priority="677">
      <formula>$D10="7 - 8"</formula>
    </cfRule>
    <cfRule type="expression" dxfId="991" priority="678">
      <formula>$D10="1 - 2"</formula>
    </cfRule>
  </conditionalFormatting>
  <conditionalFormatting sqref="L18:L19">
    <cfRule type="expression" dxfId="990" priority="432">
      <formula>OR($D22="3 - 4",$D22="5 - 6")</formula>
    </cfRule>
    <cfRule type="expression" dxfId="989" priority="433">
      <formula>$D22="7 - 8"</formula>
    </cfRule>
    <cfRule type="expression" dxfId="988" priority="434">
      <formula>$D22="1 - 2"</formula>
    </cfRule>
    <cfRule type="expression" dxfId="987" priority="436">
      <formula>$D18="7 - 8"</formula>
    </cfRule>
    <cfRule type="expression" dxfId="986" priority="439">
      <formula>OR($D22="3 - 4",$D22="5 - 6")</formula>
    </cfRule>
    <cfRule type="expression" dxfId="985" priority="440">
      <formula>$D22="7 - 8"</formula>
    </cfRule>
    <cfRule type="expression" dxfId="984" priority="441">
      <formula>$D22="1 - 2"</formula>
    </cfRule>
    <cfRule type="expression" dxfId="983" priority="437">
      <formula>$D18="1 - 2"</formula>
    </cfRule>
    <cfRule type="expression" dxfId="982" priority="435">
      <formula>OR($D18="3 - 4",$D18="5 - 6")</formula>
    </cfRule>
  </conditionalFormatting>
  <conditionalFormatting sqref="L18:L20">
    <cfRule type="expression" dxfId="981" priority="446">
      <formula>OR($D22="3 - 4",$D22="5 - 6")</formula>
    </cfRule>
    <cfRule type="expression" dxfId="980" priority="443">
      <formula>OR($D18="3 - 4",$D18="5 - 6")</formula>
    </cfRule>
    <cfRule type="expression" dxfId="979" priority="447">
      <formula>$D22="7 - 8"</formula>
    </cfRule>
    <cfRule type="expression" dxfId="978" priority="448">
      <formula>$D22="1 - 2"</formula>
    </cfRule>
    <cfRule type="expression" dxfId="977" priority="445">
      <formula>$D18="1 - 2"</formula>
    </cfRule>
    <cfRule type="expression" dxfId="976" priority="444">
      <formula>$D18="7 - 8"</formula>
    </cfRule>
  </conditionalFormatting>
  <conditionalFormatting sqref="L26:L27">
    <cfRule type="expression" dxfId="975" priority="27">
      <formula>$D26="1 - 2"</formula>
    </cfRule>
    <cfRule type="expression" dxfId="974" priority="24">
      <formula>$D30="1 - 2"</formula>
    </cfRule>
    <cfRule type="expression" dxfId="973" priority="23">
      <formula>$D30="7 - 8"</formula>
    </cfRule>
    <cfRule type="expression" dxfId="972" priority="22">
      <formula>OR($D30="3 - 4",$D30="5 - 6")</formula>
    </cfRule>
    <cfRule type="expression" dxfId="971" priority="25">
      <formula>OR($D26="3 - 4",$D26="5 - 6")</formula>
    </cfRule>
    <cfRule type="expression" dxfId="970" priority="26">
      <formula>$D26="7 - 8"</formula>
    </cfRule>
  </conditionalFormatting>
  <conditionalFormatting sqref="L31:L32">
    <cfRule type="expression" dxfId="969" priority="2380">
      <formula>OR($D35="3 - 4",$D35="5 - 6")</formula>
    </cfRule>
    <cfRule type="expression" dxfId="968" priority="2381">
      <formula>$D35="7 - 8"</formula>
    </cfRule>
    <cfRule type="expression" dxfId="967" priority="2382">
      <formula>$D35="1 - 2"</formula>
    </cfRule>
    <cfRule type="expression" dxfId="966" priority="2379">
      <formula>$D31="1 - 2"</formula>
    </cfRule>
    <cfRule type="expression" dxfId="965" priority="2378">
      <formula>$D31="7 - 8"</formula>
    </cfRule>
    <cfRule type="expression" dxfId="964" priority="2377">
      <formula>OR($D31="3 - 4",$D31="5 - 6")</formula>
    </cfRule>
  </conditionalFormatting>
  <conditionalFormatting sqref="L8:M8">
    <cfRule type="expression" dxfId="963" priority="2822">
      <formula>$D12="1 - 2"</formula>
    </cfRule>
    <cfRule type="expression" dxfId="962" priority="2820">
      <formula>OR($D12="3 - 4",$D12="5 - 6")</formula>
    </cfRule>
    <cfRule type="expression" dxfId="961" priority="2821">
      <formula>$D12="7 - 8"</formula>
    </cfRule>
  </conditionalFormatting>
  <conditionalFormatting sqref="L15:M16 Q15:R16">
    <cfRule type="expression" dxfId="960" priority="2155">
      <formula>$D19="1 - 2"</formula>
    </cfRule>
    <cfRule type="expression" dxfId="959" priority="2153">
      <formula>OR($D19="3 - 4",$D19="5 - 6")</formula>
    </cfRule>
    <cfRule type="expression" dxfId="958" priority="2154">
      <formula>$D19="7 - 8"</formula>
    </cfRule>
  </conditionalFormatting>
  <conditionalFormatting sqref="L22:M24">
    <cfRule type="expression" dxfId="957" priority="2531">
      <formula>$D22="1 - 2"</formula>
    </cfRule>
    <cfRule type="expression" dxfId="956" priority="2530">
      <formula>$D22="7 - 8"</formula>
    </cfRule>
    <cfRule type="expression" dxfId="955" priority="2529">
      <formula>OR($D22="3 - 4",$D22="5 - 6")</formula>
    </cfRule>
  </conditionalFormatting>
  <conditionalFormatting sqref="L23:M24">
    <cfRule type="expression" dxfId="954" priority="2534">
      <formula>$D27="1 - 2"</formula>
    </cfRule>
    <cfRule type="expression" dxfId="953" priority="2533">
      <formula>$D27="7 - 8"</formula>
    </cfRule>
    <cfRule type="expression" dxfId="952" priority="2532">
      <formula>OR($D27="3 - 4",$D27="5 - 6")</formula>
    </cfRule>
  </conditionalFormatting>
  <conditionalFormatting sqref="L28:M28">
    <cfRule type="expression" dxfId="951" priority="59">
      <formula>$D32="7 - 8"</formula>
    </cfRule>
    <cfRule type="expression" dxfId="950" priority="60">
      <formula>$D32="1 - 2"</formula>
    </cfRule>
    <cfRule type="expression" dxfId="949" priority="58">
      <formula>OR($D32="3 - 4",$D32="5 - 6")</formula>
    </cfRule>
  </conditionalFormatting>
  <conditionalFormatting sqref="L14:N14">
    <cfRule type="expression" dxfId="948" priority="1804">
      <formula>$D18="1 - 2"</formula>
    </cfRule>
    <cfRule type="expression" dxfId="947" priority="1802">
      <formula>OR($D18="3 - 4",$D18="5 - 6")</formula>
    </cfRule>
    <cfRule type="expression" dxfId="946" priority="1803">
      <formula>$D18="7 - 8"</formula>
    </cfRule>
  </conditionalFormatting>
  <conditionalFormatting sqref="L22:N22">
    <cfRule type="expression" dxfId="945" priority="2546">
      <formula>OR($D26="3 - 4",$D26="5 - 6")</formula>
    </cfRule>
    <cfRule type="expression" dxfId="944" priority="2547">
      <formula>$D26="7 - 8"</formula>
    </cfRule>
    <cfRule type="expression" dxfId="943" priority="2548">
      <formula>$D26="1 - 2"</formula>
    </cfRule>
  </conditionalFormatting>
  <conditionalFormatting sqref="L14:O17 Q15:R16">
    <cfRule type="expression" dxfId="942" priority="2159">
      <formula>$D14="1 - 2"</formula>
    </cfRule>
    <cfRule type="expression" dxfId="941" priority="2158">
      <formula>$D14="7 - 8"</formula>
    </cfRule>
    <cfRule type="expression" dxfId="940" priority="2157">
      <formula>OR($D14="3 - 4",$D14="5 - 6")</formula>
    </cfRule>
  </conditionalFormatting>
  <conditionalFormatting sqref="L30:R30">
    <cfRule type="expression" dxfId="939" priority="2394">
      <formula>OR($D34="3 - 4",$D34="5 - 6")</formula>
    </cfRule>
    <cfRule type="expression" dxfId="938" priority="2395">
      <formula>$D34="7 - 8"</formula>
    </cfRule>
    <cfRule type="expression" dxfId="937" priority="2396">
      <formula>$D34="1 - 2"</formula>
    </cfRule>
  </conditionalFormatting>
  <conditionalFormatting sqref="L30:S30 N31:Q31 N32:R32">
    <cfRule type="expression" dxfId="936" priority="1016">
      <formula>$D30="1 - 2"</formula>
    </cfRule>
    <cfRule type="expression" dxfId="935" priority="1015">
      <formula>$D30="7 - 8"</formula>
    </cfRule>
    <cfRule type="expression" dxfId="934" priority="1014">
      <formula>OR($D30="3 - 4",$D30="5 - 6")</formula>
    </cfRule>
  </conditionalFormatting>
  <conditionalFormatting sqref="L6:X7">
    <cfRule type="expression" dxfId="933" priority="737">
      <formula>OR(L$5="By",L$5="CN",L$5="")</formula>
    </cfRule>
  </conditionalFormatting>
  <conditionalFormatting sqref="L8:AB8">
    <cfRule type="expression" dxfId="932" priority="723">
      <formula>OR(L$5="By",L$5="CN",L$5="")</formula>
    </cfRule>
  </conditionalFormatting>
  <conditionalFormatting sqref="M6:M7">
    <cfRule type="expression" dxfId="931" priority="747">
      <formula>$D6="1 - 2"</formula>
    </cfRule>
    <cfRule type="expression" dxfId="930" priority="745">
      <formula>OR($D6="3 - 4",$D6="5 - 6")</formula>
    </cfRule>
    <cfRule type="expression" dxfId="929" priority="746">
      <formula>$D6="7 - 8"</formula>
    </cfRule>
  </conditionalFormatting>
  <conditionalFormatting sqref="M7">
    <cfRule type="expression" dxfId="928" priority="743">
      <formula>$D11="1 - 2"</formula>
    </cfRule>
    <cfRule type="expression" dxfId="927" priority="741">
      <formula>OR($D11="3 - 4",$D11="5 - 6")</formula>
    </cfRule>
    <cfRule type="expression" dxfId="926" priority="742">
      <formula>$D11="7 - 8"</formula>
    </cfRule>
  </conditionalFormatting>
  <conditionalFormatting sqref="M10:M12">
    <cfRule type="expression" dxfId="925" priority="665">
      <formula>$D10="1 - 2"</formula>
    </cfRule>
    <cfRule type="expression" dxfId="924" priority="664">
      <formula>$D10="7 - 8"</formula>
    </cfRule>
    <cfRule type="expression" dxfId="923" priority="663">
      <formula>OR($D10="3 - 4",$D10="5 - 6")</formula>
    </cfRule>
  </conditionalFormatting>
  <conditionalFormatting sqref="M11">
    <cfRule type="expression" dxfId="922" priority="656">
      <formula>OR($D15="3 - 4",$D15="5 - 6")</formula>
    </cfRule>
    <cfRule type="expression" dxfId="921" priority="657">
      <formula>$D15="7 - 8"</formula>
    </cfRule>
    <cfRule type="expression" dxfId="920" priority="658">
      <formula>$D15="1 - 2"</formula>
    </cfRule>
  </conditionalFormatting>
  <conditionalFormatting sqref="M11:M12">
    <cfRule type="expression" dxfId="919" priority="668">
      <formula>$D15="1 - 2"</formula>
    </cfRule>
    <cfRule type="expression" dxfId="918" priority="667">
      <formula>$D15="7 - 8"</formula>
    </cfRule>
    <cfRule type="expression" dxfId="917" priority="666">
      <formula>OR($D15="3 - 4",$D15="5 - 6")</formula>
    </cfRule>
  </conditionalFormatting>
  <conditionalFormatting sqref="M18:M20">
    <cfRule type="expression" dxfId="916" priority="426">
      <formula>OR($D18="3 - 4",$D18="5 - 6")</formula>
    </cfRule>
    <cfRule type="expression" dxfId="915" priority="419">
      <formula>$D18="7 - 8"</formula>
    </cfRule>
    <cfRule type="expression" dxfId="914" priority="429">
      <formula>OR($D22="3 - 4",$D22="5 - 6")</formula>
    </cfRule>
    <cfRule type="expression" dxfId="913" priority="428">
      <formula>$D18="1 - 2"</formula>
    </cfRule>
    <cfRule type="expression" dxfId="912" priority="427">
      <formula>$D18="7 - 8"</formula>
    </cfRule>
    <cfRule type="expression" dxfId="911" priority="431">
      <formula>$D22="1 - 2"</formula>
    </cfRule>
    <cfRule type="expression" dxfId="910" priority="430">
      <formula>$D22="7 - 8"</formula>
    </cfRule>
    <cfRule type="expression" dxfId="909" priority="424">
      <formula>$D22="1 - 2"</formula>
    </cfRule>
    <cfRule type="expression" dxfId="908" priority="423">
      <formula>$D22="7 - 8"</formula>
    </cfRule>
    <cfRule type="expression" dxfId="907" priority="422">
      <formula>OR($D22="3 - 4",$D22="5 - 6")</formula>
    </cfRule>
    <cfRule type="expression" dxfId="906" priority="420">
      <formula>$D18="1 - 2"</formula>
    </cfRule>
    <cfRule type="expression" dxfId="905" priority="418">
      <formula>OR($D18="3 - 4",$D18="5 - 6")</formula>
    </cfRule>
  </conditionalFormatting>
  <conditionalFormatting sqref="M26:M27">
    <cfRule type="expression" dxfId="904" priority="21">
      <formula>$D26="1 - 2"</formula>
    </cfRule>
    <cfRule type="expression" dxfId="903" priority="20">
      <formula>$D26="7 - 8"</formula>
    </cfRule>
    <cfRule type="expression" dxfId="902" priority="19">
      <formula>OR($D26="3 - 4",$D26="5 - 6")</formula>
    </cfRule>
  </conditionalFormatting>
  <conditionalFormatting sqref="M27">
    <cfRule type="expression" dxfId="901" priority="18">
      <formula>$D31="1 - 2"</formula>
    </cfRule>
    <cfRule type="expression" dxfId="900" priority="17">
      <formula>$D31="7 - 8"</formula>
    </cfRule>
    <cfRule type="expression" dxfId="899" priority="16">
      <formula>OR($D31="3 - 4",$D31="5 - 6")</formula>
    </cfRule>
  </conditionalFormatting>
  <conditionalFormatting sqref="M31:M33">
    <cfRule type="expression" dxfId="898" priority="1046">
      <formula>$D39="7 - 8"</formula>
    </cfRule>
    <cfRule type="expression" dxfId="897" priority="1039">
      <formula>$D35="7 - 8"</formula>
    </cfRule>
    <cfRule type="expression" dxfId="896" priority="1040">
      <formula>$D35="1 - 2"</formula>
    </cfRule>
    <cfRule type="expression" dxfId="895" priority="1038">
      <formula>OR($D35="3 - 4",$D35="5 - 6")</formula>
    </cfRule>
    <cfRule type="expression" dxfId="894" priority="1042">
      <formula>OR($D31="3 - 4",$D31="5 - 6")</formula>
    </cfRule>
    <cfRule type="expression" dxfId="893" priority="1043">
      <formula>$D31="7 - 8"</formula>
    </cfRule>
    <cfRule type="expression" dxfId="892" priority="1044">
      <formula>$D31="1 - 2"</formula>
    </cfRule>
    <cfRule type="expression" dxfId="891" priority="1045">
      <formula>OR($D39="3 - 4",$D39="5 - 6")</formula>
    </cfRule>
    <cfRule type="expression" dxfId="890" priority="1047">
      <formula>$D39="1 - 2"</formula>
    </cfRule>
  </conditionalFormatting>
  <conditionalFormatting sqref="M6:N6">
    <cfRule type="expression" dxfId="889" priority="2836">
      <formula>$D10="1 - 2"</formula>
    </cfRule>
    <cfRule type="expression" dxfId="888" priority="2835">
      <formula>$D10="7 - 8"</formula>
    </cfRule>
    <cfRule type="expression" dxfId="887" priority="2834">
      <formula>OR($D10="3 - 4",$D10="5 - 6")</formula>
    </cfRule>
  </conditionalFormatting>
  <conditionalFormatting sqref="M10:N10">
    <cfRule type="expression" dxfId="886" priority="2768">
      <formula>$D14="1 - 2"</formula>
    </cfRule>
    <cfRule type="expression" dxfId="885" priority="2767">
      <formula>$D14="7 - 8"</formula>
    </cfRule>
    <cfRule type="expression" dxfId="884" priority="2766">
      <formula>OR($D14="3 - 4",$D14="5 - 6")</formula>
    </cfRule>
  </conditionalFormatting>
  <conditionalFormatting sqref="M18:N20">
    <cfRule type="expression" dxfId="883" priority="407">
      <formula>$D22="1 - 2"</formula>
    </cfRule>
    <cfRule type="expression" dxfId="882" priority="406">
      <formula>$D22="7 - 8"</formula>
    </cfRule>
    <cfRule type="expression" dxfId="881" priority="405">
      <formula>OR($D22="3 - 4",$D22="5 - 6")</formula>
    </cfRule>
  </conditionalFormatting>
  <conditionalFormatting sqref="M26:N26">
    <cfRule type="expression" dxfId="880" priority="61">
      <formula>OR($D30="3 - 4",$D30="5 - 6")</formula>
    </cfRule>
    <cfRule type="expression" dxfId="879" priority="62">
      <formula>$D30="7 - 8"</formula>
    </cfRule>
    <cfRule type="expression" dxfId="878" priority="63">
      <formula>$D30="1 - 2"</formula>
    </cfRule>
  </conditionalFormatting>
  <conditionalFormatting sqref="M11:P11">
    <cfRule type="expression" dxfId="877" priority="661">
      <formula>$D11="1 - 2"</formula>
    </cfRule>
    <cfRule type="expression" dxfId="876" priority="659">
      <formula>OR($D11="3 - 4",$D11="5 - 6")</formula>
    </cfRule>
    <cfRule type="expression" dxfId="875" priority="660">
      <formula>$D11="7 - 8"</formula>
    </cfRule>
  </conditionalFormatting>
  <conditionalFormatting sqref="N12">
    <cfRule type="expression" dxfId="874" priority="643">
      <formula>OR($D16="3 - 4",$D16="5 - 6")</formula>
    </cfRule>
    <cfRule type="expression" dxfId="873" priority="644">
      <formula>$D16="7 - 8"</formula>
    </cfRule>
    <cfRule type="expression" dxfId="872" priority="645">
      <formula>$D16="1 - 2"</formula>
    </cfRule>
    <cfRule type="expression" dxfId="871" priority="646">
      <formula>OR($D12="3 - 4",$D12="5 - 6")</formula>
    </cfRule>
    <cfRule type="expression" dxfId="870" priority="647">
      <formula>$D12="7 - 8"</formula>
    </cfRule>
    <cfRule type="expression" dxfId="869" priority="648">
      <formula>$D12="1 - 2"</formula>
    </cfRule>
    <cfRule type="expression" dxfId="868" priority="653">
      <formula>OR($D16="3 - 4",$D16="5 - 6")</formula>
    </cfRule>
    <cfRule type="expression" dxfId="867" priority="655">
      <formula>$D16="1 - 2"</formula>
    </cfRule>
    <cfRule type="expression" dxfId="866" priority="654">
      <formula>$D16="7 - 8"</formula>
    </cfRule>
  </conditionalFormatting>
  <conditionalFormatting sqref="N19:N20">
    <cfRule type="expression" dxfId="865" priority="398">
      <formula>$D24="1 - 2"</formula>
    </cfRule>
    <cfRule type="expression" dxfId="864" priority="402">
      <formula>OR($D19="3 - 4",$D19="5 - 6")</formula>
    </cfRule>
    <cfRule type="expression" dxfId="863" priority="401">
      <formula>$D20="1 - 2"</formula>
    </cfRule>
    <cfRule type="expression" dxfId="862" priority="400">
      <formula>$D20="7 - 8"</formula>
    </cfRule>
    <cfRule type="expression" dxfId="861" priority="399">
      <formula>OR($D20="3 - 4",$D20="5 - 6")</formula>
    </cfRule>
    <cfRule type="expression" dxfId="860" priority="403">
      <formula>$D19="7 - 8"</formula>
    </cfRule>
    <cfRule type="expression" dxfId="859" priority="397">
      <formula>$D24="7 - 8"</formula>
    </cfRule>
    <cfRule type="expression" dxfId="858" priority="396">
      <formula>OR($D24="3 - 4",$D24="5 - 6")</formula>
    </cfRule>
    <cfRule type="expression" dxfId="857" priority="395">
      <formula>$D27="1 - 2"</formula>
    </cfRule>
    <cfRule type="expression" dxfId="856" priority="394">
      <formula>$D27="7 - 8"</formula>
    </cfRule>
    <cfRule type="expression" dxfId="855" priority="393">
      <formula>OR($D27="3 - 4",$D27="5 - 6")</formula>
    </cfRule>
    <cfRule type="expression" dxfId="854" priority="404">
      <formula>$D19="1 - 2"</formula>
    </cfRule>
    <cfRule type="expression" dxfId="853" priority="414">
      <formula>$D27="1 - 2"</formula>
    </cfRule>
    <cfRule type="expression" dxfId="852" priority="408">
      <formula>OR(Q$5="By",Q$5="CN",Q$5="")</formula>
    </cfRule>
    <cfRule type="expression" dxfId="851" priority="409">
      <formula>OR($D19="3 - 4",$D19="5 - 6")</formula>
    </cfRule>
    <cfRule type="expression" dxfId="850" priority="410">
      <formula>$D19="7 - 8"</formula>
    </cfRule>
    <cfRule type="expression" dxfId="849" priority="411">
      <formula>$D19="1 - 2"</formula>
    </cfRule>
    <cfRule type="expression" dxfId="848" priority="412">
      <formula>OR($D27="3 - 4",$D27="5 - 6")</formula>
    </cfRule>
    <cfRule type="expression" dxfId="847" priority="413">
      <formula>$D27="7 - 8"</formula>
    </cfRule>
  </conditionalFormatting>
  <conditionalFormatting sqref="N18:O18 O19 O20:P20">
    <cfRule type="expression" dxfId="846" priority="2668">
      <formula>$D18="1 - 2"</formula>
    </cfRule>
    <cfRule type="expression" dxfId="845" priority="2666">
      <formula>OR($D18="3 - 4",$D18="5 - 6")</formula>
    </cfRule>
    <cfRule type="expression" dxfId="844" priority="2667">
      <formula>$D18="7 - 8"</formula>
    </cfRule>
  </conditionalFormatting>
  <conditionalFormatting sqref="N22:O22 N23:S24">
    <cfRule type="expression" dxfId="843" priority="2591">
      <formula>$D22="7 - 8"</formula>
    </cfRule>
    <cfRule type="expression" dxfId="842" priority="2592">
      <formula>$D22="1 - 2"</formula>
    </cfRule>
  </conditionalFormatting>
  <conditionalFormatting sqref="N12:P12">
    <cfRule type="expression" dxfId="841" priority="650">
      <formula>OR($D12="3 - 4",$D12="5 - 6")</formula>
    </cfRule>
    <cfRule type="expression" dxfId="840" priority="651">
      <formula>$D12="7 - 8"</formula>
    </cfRule>
    <cfRule type="expression" dxfId="839" priority="652">
      <formula>$D12="1 - 2"</formula>
    </cfRule>
  </conditionalFormatting>
  <conditionalFormatting sqref="N10:Q10">
    <cfRule type="expression" dxfId="838" priority="2783">
      <formula>OR($D10="3 - 4",$D10="5 - 6")</formula>
    </cfRule>
    <cfRule type="expression" dxfId="837" priority="2784">
      <formula>$D10="7 - 8"</formula>
    </cfRule>
    <cfRule type="expression" dxfId="836" priority="2785">
      <formula>$D10="1 - 2"</formula>
    </cfRule>
  </conditionalFormatting>
  <conditionalFormatting sqref="N33:Q33">
    <cfRule type="expression" dxfId="835" priority="986">
      <formula>OR($D33="3 - 4",$D33="5 - 6")</formula>
    </cfRule>
    <cfRule type="expression" dxfId="834" priority="988">
      <formula>$D33="1 - 2"</formula>
    </cfRule>
    <cfRule type="expression" dxfId="833" priority="987">
      <formula>$D33="7 - 8"</formula>
    </cfRule>
  </conditionalFormatting>
  <conditionalFormatting sqref="N6:R6">
    <cfRule type="expression" dxfId="832" priority="2935">
      <formula>OR($D6="3 - 4",$D6="5 - 6")</formula>
    </cfRule>
    <cfRule type="expression" dxfId="831" priority="2936">
      <formula>$D6="7 - 8"</formula>
    </cfRule>
    <cfRule type="expression" dxfId="830" priority="2937">
      <formula>$D6="1 - 2"</formula>
    </cfRule>
  </conditionalFormatting>
  <conditionalFormatting sqref="N7:R7 R8:S8 AG9:AK9 R11:R12 AG13:AK13">
    <cfRule type="expression" dxfId="829" priority="4393">
      <formula>$D7="7 - 8"</formula>
    </cfRule>
    <cfRule type="expression" dxfId="828" priority="4394">
      <formula>$D7="1 - 2"</formula>
    </cfRule>
  </conditionalFormatting>
  <conditionalFormatting sqref="N26:R27">
    <cfRule type="expression" dxfId="827" priority="65">
      <formula>$D26="7 - 8"</formula>
    </cfRule>
    <cfRule type="expression" dxfId="826" priority="66">
      <formula>$D26="1 - 2"</formula>
    </cfRule>
    <cfRule type="expression" dxfId="825" priority="64">
      <formula>OR($D26="3 - 4",$D26="5 - 6")</formula>
    </cfRule>
  </conditionalFormatting>
  <conditionalFormatting sqref="N23:S24 N22:O22">
    <cfRule type="expression" dxfId="824" priority="2590">
      <formula>OR($D22="3 - 4",$D22="5 - 6")</formula>
    </cfRule>
  </conditionalFormatting>
  <conditionalFormatting sqref="P15:P19">
    <cfRule type="expression" dxfId="823" priority="1254">
      <formula>$D19="1 - 2"</formula>
    </cfRule>
    <cfRule type="expression" dxfId="822" priority="1256">
      <formula>OR($D15="3 - 4",$D15="5 - 6")</formula>
    </cfRule>
    <cfRule type="expression" dxfId="821" priority="1257">
      <formula>$D15="7 - 8"</formula>
    </cfRule>
    <cfRule type="expression" dxfId="820" priority="1253">
      <formula>$D19="7 - 8"</formula>
    </cfRule>
    <cfRule type="expression" dxfId="819" priority="1252">
      <formula>OR($D19="3 - 4",$D19="5 - 6")</formula>
    </cfRule>
    <cfRule type="expression" dxfId="818" priority="1258">
      <formula>$D15="1 - 2"</formula>
    </cfRule>
  </conditionalFormatting>
  <conditionalFormatting sqref="P18:P19">
    <cfRule type="expression" dxfId="817" priority="1244">
      <formula>$D23="7 - 8"</formula>
    </cfRule>
    <cfRule type="expression" dxfId="816" priority="1249">
      <formula>OR($D18="3 - 4",$D18="5 - 6")</formula>
    </cfRule>
    <cfRule type="expression" dxfId="815" priority="1248">
      <formula>$D19="1 - 2"</formula>
    </cfRule>
    <cfRule type="expression" dxfId="814" priority="1247">
      <formula>$D19="7 - 8"</formula>
    </cfRule>
    <cfRule type="expression" dxfId="813" priority="1243">
      <formula>OR($D23="3 - 4",$D23="5 - 6")</formula>
    </cfRule>
    <cfRule type="expression" dxfId="812" priority="1251">
      <formula>$D18="1 - 2"</formula>
    </cfRule>
    <cfRule type="expression" dxfId="811" priority="1246">
      <formula>OR($D19="3 - 4",$D19="5 - 6")</formula>
    </cfRule>
    <cfRule type="expression" dxfId="810" priority="1242">
      <formula>$D26="1 - 2"</formula>
    </cfRule>
    <cfRule type="expression" dxfId="809" priority="1241">
      <formula>$D26="7 - 8"</formula>
    </cfRule>
    <cfRule type="expression" dxfId="808" priority="1240">
      <formula>OR($D26="3 - 4",$D26="5 - 6")</formula>
    </cfRule>
    <cfRule type="expression" dxfId="807" priority="1245">
      <formula>$D23="1 - 2"</formula>
    </cfRule>
    <cfRule type="expression" dxfId="806" priority="1250">
      <formula>$D18="7 - 8"</formula>
    </cfRule>
    <cfRule type="expression" dxfId="805" priority="1260">
      <formula>$D26="7 - 8"</formula>
    </cfRule>
    <cfRule type="expression" dxfId="804" priority="1255">
      <formula>OR(S$5="By",S$5="CN",S$5="")</formula>
    </cfRule>
    <cfRule type="expression" dxfId="803" priority="1259">
      <formula>OR($D26="3 - 4",$D26="5 - 6")</formula>
    </cfRule>
    <cfRule type="expression" dxfId="802" priority="1261">
      <formula>$D26="1 - 2"</formula>
    </cfRule>
  </conditionalFormatting>
  <conditionalFormatting sqref="P6:Q6">
    <cfRule type="expression" dxfId="801" priority="2939">
      <formula>OR($D10="3 - 4",$D10="5 - 6")</formula>
    </cfRule>
    <cfRule type="expression" dxfId="800" priority="2940">
      <formula>$D10="7 - 8"</formula>
    </cfRule>
    <cfRule type="expression" dxfId="799" priority="2941">
      <formula>$D10="1 - 2"</formula>
    </cfRule>
  </conditionalFormatting>
  <conditionalFormatting sqref="P10:Q10">
    <cfRule type="expression" dxfId="798" priority="2788">
      <formula>$D14="1 - 2"</formula>
    </cfRule>
    <cfRule type="expression" dxfId="797" priority="2787">
      <formula>$D14="7 - 8"</formula>
    </cfRule>
    <cfRule type="expression" dxfId="796" priority="2786">
      <formula>OR($D14="3 - 4",$D14="5 - 6")</formula>
    </cfRule>
  </conditionalFormatting>
  <conditionalFormatting sqref="P14:Q14">
    <cfRule type="expression" dxfId="795" priority="2715">
      <formula>$D18="7 - 8"</formula>
    </cfRule>
    <cfRule type="expression" dxfId="794" priority="2716">
      <formula>$D18="1 - 2"</formula>
    </cfRule>
    <cfRule type="expression" dxfId="793" priority="2714">
      <formula>OR($D18="3 - 4",$D18="5 - 6")</formula>
    </cfRule>
  </conditionalFormatting>
  <conditionalFormatting sqref="P22:Q22">
    <cfRule type="expression" dxfId="792" priority="2568">
      <formula>$D26="1 - 2"</formula>
    </cfRule>
    <cfRule type="expression" dxfId="791" priority="2567">
      <formula>$D26="7 - 8"</formula>
    </cfRule>
    <cfRule type="expression" dxfId="790" priority="2566">
      <formula>OR($D26="3 - 4",$D26="5 - 6")</formula>
    </cfRule>
  </conditionalFormatting>
  <conditionalFormatting sqref="P26:Q26">
    <cfRule type="expression" dxfId="789" priority="67">
      <formula>OR($D30="3 - 4",$D30="5 - 6")</formula>
    </cfRule>
    <cfRule type="expression" dxfId="788" priority="69">
      <formula>$D30="1 - 2"</formula>
    </cfRule>
    <cfRule type="expression" dxfId="787" priority="68">
      <formula>$D30="7 - 8"</formula>
    </cfRule>
  </conditionalFormatting>
  <conditionalFormatting sqref="P14:R14">
    <cfRule type="expression" dxfId="786" priority="2684">
      <formula>OR($D14="3 - 4",$D14="5 - 6")</formula>
    </cfRule>
    <cfRule type="expression" dxfId="785" priority="2685">
      <formula>$D14="7 - 8"</formula>
    </cfRule>
    <cfRule type="expression" dxfId="784" priority="2686">
      <formula>$D14="1 - 2"</formula>
    </cfRule>
  </conditionalFormatting>
  <conditionalFormatting sqref="P22:V22">
    <cfRule type="expression" dxfId="783" priority="2537">
      <formula>$D22="7 - 8"</formula>
    </cfRule>
    <cfRule type="expression" dxfId="782" priority="2538">
      <formula>$D22="1 - 2"</formula>
    </cfRule>
    <cfRule type="expression" dxfId="781" priority="2536">
      <formula>OR($D22="3 - 4",$D22="5 - 6")</formula>
    </cfRule>
  </conditionalFormatting>
  <conditionalFormatting sqref="Q7">
    <cfRule type="expression" dxfId="780" priority="3357">
      <formula>$D11="7 - 8"</formula>
    </cfRule>
    <cfRule type="expression" dxfId="779" priority="3358">
      <formula>$D11="1 - 2"</formula>
    </cfRule>
    <cfRule type="expression" dxfId="778" priority="3356">
      <formula>OR($D11="3 - 4",$D11="5 - 6")</formula>
    </cfRule>
  </conditionalFormatting>
  <conditionalFormatting sqref="Q11:Q12">
    <cfRule type="expression" dxfId="777" priority="630">
      <formula>OR($D15="3 - 4",$D15="5 - 6")</formula>
    </cfRule>
    <cfRule type="expression" dxfId="776" priority="631">
      <formula>$D15="7 - 8"</formula>
    </cfRule>
    <cfRule type="expression" dxfId="775" priority="632">
      <formula>$D15="1 - 2"</formula>
    </cfRule>
    <cfRule type="expression" dxfId="774" priority="633">
      <formula>OR($D11="3 - 4",$D11="5 - 6")</formula>
    </cfRule>
    <cfRule type="expression" dxfId="773" priority="634">
      <formula>$D11="7 - 8"</formula>
    </cfRule>
    <cfRule type="expression" dxfId="772" priority="635">
      <formula>$D11="1 - 2"</formula>
    </cfRule>
    <cfRule type="expression" dxfId="771" priority="637">
      <formula>OR($D11="3 - 4",$D11="5 - 6")</formula>
    </cfRule>
    <cfRule type="expression" dxfId="770" priority="638">
      <formula>$D11="7 - 8"</formula>
    </cfRule>
    <cfRule type="expression" dxfId="769" priority="639">
      <formula>$D11="1 - 2"</formula>
    </cfRule>
  </conditionalFormatting>
  <conditionalFormatting sqref="Q18:Q20">
    <cfRule type="expression" dxfId="768" priority="388">
      <formula>$D18="1 - 2"</formula>
    </cfRule>
    <cfRule type="expression" dxfId="767" priority="386">
      <formula>OR($D18="3 - 4",$D18="5 - 6")</formula>
    </cfRule>
    <cfRule type="expression" dxfId="766" priority="387">
      <formula>$D18="7 - 8"</formula>
    </cfRule>
    <cfRule type="expression" dxfId="765" priority="391">
      <formula>$D22="1 - 2"</formula>
    </cfRule>
    <cfRule type="expression" dxfId="764" priority="389">
      <formula>OR($D22="3 - 4",$D22="5 - 6")</formula>
    </cfRule>
    <cfRule type="expression" dxfId="763" priority="390">
      <formula>$D22="7 - 8"</formula>
    </cfRule>
  </conditionalFormatting>
  <conditionalFormatting sqref="Q19:Q20">
    <cfRule type="expression" dxfId="762" priority="378">
      <formula>OR($D19="3 - 4",$D19="5 - 6")</formula>
    </cfRule>
    <cfRule type="expression" dxfId="761" priority="379">
      <formula>$D19="7 - 8"</formula>
    </cfRule>
    <cfRule type="expression" dxfId="760" priority="380">
      <formula>$D19="1 - 2"</formula>
    </cfRule>
    <cfRule type="expression" dxfId="759" priority="382">
      <formula>OR($D23="3 - 4",$D23="5 - 6")</formula>
    </cfRule>
    <cfRule type="expression" dxfId="758" priority="383">
      <formula>$D23="7 - 8"</formula>
    </cfRule>
    <cfRule type="expression" dxfId="757" priority="384">
      <formula>$D23="1 - 2"</formula>
    </cfRule>
    <cfRule type="expression" dxfId="756" priority="377">
      <formula>$D23="1 - 2"</formula>
    </cfRule>
    <cfRule type="expression" dxfId="755" priority="376">
      <formula>$D23="7 - 8"</formula>
    </cfRule>
    <cfRule type="expression" dxfId="754" priority="375">
      <formula>OR($D23="3 - 4",$D23="5 - 6")</formula>
    </cfRule>
  </conditionalFormatting>
  <conditionalFormatting sqref="Q33">
    <cfRule type="expression" dxfId="753" priority="984">
      <formula>$D37="1 - 2"</formula>
    </cfRule>
    <cfRule type="expression" dxfId="752" priority="983">
      <formula>$D37="7 - 8"</formula>
    </cfRule>
    <cfRule type="expression" dxfId="751" priority="982">
      <formula>OR($D37="3 - 4",$D37="5 - 6")</formula>
    </cfRule>
  </conditionalFormatting>
  <conditionalFormatting sqref="Q7:R7 R8 Q27:R27 Q23:R24 Q15:R15 Q16 R11:R12">
    <cfRule type="expression" dxfId="750" priority="3348">
      <formula>OR($D11="3 - 4",$D11="5 - 6")</formula>
    </cfRule>
  </conditionalFormatting>
  <conditionalFormatting sqref="Q7:R7 R8 R11:R12 Q15:R15 Q16 Q23:R24 Q27:R27">
    <cfRule type="expression" dxfId="749" priority="3349">
      <formula>$D11="7 - 8"</formula>
    </cfRule>
    <cfRule type="expression" dxfId="748" priority="3350">
      <formula>$D11="1 - 2"</formula>
    </cfRule>
  </conditionalFormatting>
  <conditionalFormatting sqref="Q11:R12">
    <cfRule type="expression" dxfId="747" priority="641">
      <formula>$D15="7 - 8"</formula>
    </cfRule>
    <cfRule type="expression" dxfId="746" priority="640">
      <formula>OR($D15="3 - 4",$D15="5 - 6")</formula>
    </cfRule>
    <cfRule type="expression" dxfId="745" priority="642">
      <formula>$D15="1 - 2"</formula>
    </cfRule>
  </conditionalFormatting>
  <conditionalFormatting sqref="Q23:R24">
    <cfRule type="expression" dxfId="744" priority="2578">
      <formula>$D27="1 - 2"</formula>
    </cfRule>
    <cfRule type="expression" dxfId="743" priority="3347">
      <formula>OR(Q$5="By",Q$5="CN",Q$5="")</formula>
    </cfRule>
    <cfRule type="expression" dxfId="742" priority="2576">
      <formula>OR($D27="3 - 4",$D27="5 - 6")</formula>
    </cfRule>
    <cfRule type="expression" dxfId="741" priority="2577">
      <formula>$D27="7 - 8"</formula>
    </cfRule>
  </conditionalFormatting>
  <conditionalFormatting sqref="Q17:AA17">
    <cfRule type="expression" dxfId="740" priority="3014">
      <formula>OR($D17="3 - 4",$D17="5 - 6")</formula>
    </cfRule>
    <cfRule type="expression" dxfId="739" priority="3015">
      <formula>$D17="7 - 8"</formula>
    </cfRule>
    <cfRule type="expression" dxfId="738" priority="3016">
      <formula>$D17="1 - 2"</formula>
    </cfRule>
  </conditionalFormatting>
  <conditionalFormatting sqref="R7:R8">
    <cfRule type="expression" dxfId="737" priority="3345">
      <formula>$D11="7 - 8"</formula>
    </cfRule>
    <cfRule type="expression" dxfId="736" priority="3344">
      <formula>OR($D11="3 - 4",$D11="5 - 6")</formula>
    </cfRule>
    <cfRule type="expression" dxfId="735" priority="3346">
      <formula>$D11="1 - 2"</formula>
    </cfRule>
  </conditionalFormatting>
  <conditionalFormatting sqref="R18:R20">
    <cfRule type="expression" dxfId="734" priority="365">
      <formula>OR($D22="3 - 4",$D22="5 - 6")</formula>
    </cfRule>
    <cfRule type="expression" dxfId="733" priority="363">
      <formula>$D18="1 - 2"</formula>
    </cfRule>
    <cfRule type="expression" dxfId="732" priority="366">
      <formula>$D22="7 - 8"</formula>
    </cfRule>
    <cfRule type="expression" dxfId="731" priority="367">
      <formula>$D22="1 - 2"</formula>
    </cfRule>
    <cfRule type="expression" dxfId="730" priority="362">
      <formula>$D18="7 - 8"</formula>
    </cfRule>
    <cfRule type="expression" dxfId="729" priority="361">
      <formula>OR($D18="3 - 4",$D18="5 - 6")</formula>
    </cfRule>
    <cfRule type="expression" dxfId="728" priority="360">
      <formula>$D22="1 - 2"</formula>
    </cfRule>
    <cfRule type="expression" dxfId="727" priority="359">
      <formula>$D22="7 - 8"</formula>
    </cfRule>
    <cfRule type="expression" dxfId="726" priority="358">
      <formula>OR($D22="3 - 4",$D22="5 - 6")</formula>
    </cfRule>
    <cfRule type="expression" dxfId="725" priority="369">
      <formula>OR($D18="3 - 4",$D18="5 - 6")</formula>
    </cfRule>
    <cfRule type="expression" dxfId="724" priority="370">
      <formula>$D18="7 - 8"</formula>
    </cfRule>
    <cfRule type="expression" dxfId="723" priority="371">
      <formula>$D18="1 - 2"</formula>
    </cfRule>
    <cfRule type="expression" dxfId="722" priority="372">
      <formula>OR($D22="3 - 4",$D22="5 - 6")</formula>
    </cfRule>
    <cfRule type="expression" dxfId="721" priority="374">
      <formula>$D22="1 - 2"</formula>
    </cfRule>
    <cfRule type="expression" dxfId="720" priority="373">
      <formula>$D22="7 - 8"</formula>
    </cfRule>
  </conditionalFormatting>
  <conditionalFormatting sqref="R27 Y26:Y27 G33:I33">
    <cfRule type="expression" dxfId="719" priority="1880">
      <formula>OR($D34="3 - 4",$D34="5 - 6")</formula>
    </cfRule>
  </conditionalFormatting>
  <conditionalFormatting sqref="R27">
    <cfRule type="expression" dxfId="718" priority="122">
      <formula>OR($D31="3 - 4",$D31="5 - 6")</formula>
    </cfRule>
    <cfRule type="expression" dxfId="717" priority="119">
      <formula>OR($D35="3 - 4",$D35="5 - 6")</formula>
    </cfRule>
    <cfRule type="expression" dxfId="716" priority="128">
      <formula>$D35="1 - 2"</formula>
    </cfRule>
    <cfRule type="expression" dxfId="715" priority="127">
      <formula>$D35="7 - 8"</formula>
    </cfRule>
    <cfRule type="expression" dxfId="714" priority="126">
      <formula>OR($D35="3 - 4",$D35="5 - 6")</formula>
    </cfRule>
    <cfRule type="expression" dxfId="713" priority="124">
      <formula>$D31="1 - 2"</formula>
    </cfRule>
    <cfRule type="expression" dxfId="712" priority="123">
      <formula>$D31="7 - 8"</formula>
    </cfRule>
    <cfRule type="expression" dxfId="711" priority="121">
      <formula>$D35="1 - 2"</formula>
    </cfRule>
    <cfRule type="expression" dxfId="710" priority="120">
      <formula>$D35="7 - 8"</formula>
    </cfRule>
  </conditionalFormatting>
  <conditionalFormatting sqref="R37:R40">
    <cfRule type="expression" dxfId="709" priority="3499">
      <formula>OR(R$5="By",R$5="CN",R$5="")</formula>
    </cfRule>
  </conditionalFormatting>
  <conditionalFormatting sqref="R38:R40">
    <cfRule type="expression" dxfId="708" priority="3498">
      <formula>$D38="1 - 2"</formula>
    </cfRule>
    <cfRule type="expression" dxfId="707" priority="3497">
      <formula>$D38="7 - 8"</formula>
    </cfRule>
    <cfRule type="expression" dxfId="706" priority="3496">
      <formula>OR($D38="3 - 4",$D38="5 - 6")</formula>
    </cfRule>
  </conditionalFormatting>
  <conditionalFormatting sqref="R10:S10">
    <cfRule type="expression" dxfId="705" priority="618">
      <formula>$D14="7 - 8"</formula>
    </cfRule>
    <cfRule type="expression" dxfId="704" priority="629">
      <formula>$D14="1 - 2"</formula>
    </cfRule>
    <cfRule type="expression" dxfId="703" priority="628">
      <formula>$D14="7 - 8"</formula>
    </cfRule>
    <cfRule type="expression" dxfId="702" priority="617">
      <formula>OR($D14="3 - 4",$D14="5 - 6")</formula>
    </cfRule>
    <cfRule type="expression" dxfId="701" priority="627">
      <formula>OR($D14="3 - 4",$D14="5 - 6")</formula>
    </cfRule>
    <cfRule type="expression" dxfId="700" priority="622">
      <formula>$D10="1 - 2"</formula>
    </cfRule>
    <cfRule type="expression" dxfId="699" priority="621">
      <formula>$D10="7 - 8"</formula>
    </cfRule>
    <cfRule type="expression" dxfId="698" priority="620">
      <formula>OR($D10="3 - 4",$D10="5 - 6")</formula>
    </cfRule>
    <cfRule type="expression" dxfId="697" priority="619">
      <formula>$D14="1 - 2"</formula>
    </cfRule>
  </conditionalFormatting>
  <conditionalFormatting sqref="R10:T10">
    <cfRule type="expression" dxfId="696" priority="626">
      <formula>$D10="1 - 2"</formula>
    </cfRule>
    <cfRule type="expression" dxfId="695" priority="625">
      <formula>$D10="7 - 8"</formula>
    </cfRule>
    <cfRule type="expression" dxfId="694" priority="624">
      <formula>OR($D10="3 - 4",$D10="5 - 6")</formula>
    </cfRule>
  </conditionalFormatting>
  <conditionalFormatting sqref="R33:T33">
    <cfRule type="expression" dxfId="693" priority="1001">
      <formula>$D33="7 - 8"</formula>
    </cfRule>
    <cfRule type="expression" dxfId="692" priority="1002">
      <formula>$D33="1 - 2"</formula>
    </cfRule>
    <cfRule type="expression" dxfId="691" priority="1000">
      <formula>OR($D33="3 - 4",$D33="5 - 6")</formula>
    </cfRule>
  </conditionalFormatting>
  <conditionalFormatting sqref="R34:U36">
    <cfRule type="expression" dxfId="690" priority="2950">
      <formula>OR(R$5="By",R$5="CN",R$5="")</formula>
    </cfRule>
  </conditionalFormatting>
  <conditionalFormatting sqref="R30:X30 S31:X31">
    <cfRule type="expression" dxfId="689" priority="992">
      <formula>OR(R$5="By",R$5="CN",R$5="")</formula>
    </cfRule>
  </conditionalFormatting>
  <conditionalFormatting sqref="R33:AD33">
    <cfRule type="expression" dxfId="688" priority="999">
      <formula>OR(R$5="By",R$5="CN",R$5="")</formula>
    </cfRule>
  </conditionalFormatting>
  <conditionalFormatting sqref="S6:S7">
    <cfRule type="expression" dxfId="687" priority="734">
      <formula>OR($D10="3 - 4",$D10="5 - 6")</formula>
    </cfRule>
    <cfRule type="expression" dxfId="686" priority="735">
      <formula>$D10="7 - 8"</formula>
    </cfRule>
    <cfRule type="expression" dxfId="685" priority="736">
      <formula>$D10="1 - 2"</formula>
    </cfRule>
    <cfRule type="expression" dxfId="684" priority="738">
      <formula>OR($D6="3 - 4",$D6="5 - 6")</formula>
    </cfRule>
    <cfRule type="expression" dxfId="683" priority="739">
      <formula>$D6="7 - 8"</formula>
    </cfRule>
    <cfRule type="expression" dxfId="682" priority="740">
      <formula>$D6="1 - 2"</formula>
    </cfRule>
  </conditionalFormatting>
  <conditionalFormatting sqref="S11">
    <cfRule type="expression" dxfId="681" priority="609">
      <formula>$D11="1 - 2"</formula>
    </cfRule>
    <cfRule type="expression" dxfId="680" priority="616">
      <formula>$D15="1 - 2"</formula>
    </cfRule>
    <cfRule type="expression" dxfId="679" priority="615">
      <formula>$D15="7 - 8"</formula>
    </cfRule>
    <cfRule type="expression" dxfId="678" priority="612">
      <formula>$D11="7 - 8"</formula>
    </cfRule>
    <cfRule type="expression" dxfId="677" priority="611">
      <formula>OR($D11="3 - 4",$D11="5 - 6")</formula>
    </cfRule>
    <cfRule type="expression" dxfId="676" priority="608">
      <formula>$D11="7 - 8"</formula>
    </cfRule>
    <cfRule type="expression" dxfId="675" priority="607">
      <formula>OR($D11="3 - 4",$D11="5 - 6")</formula>
    </cfRule>
    <cfRule type="expression" dxfId="674" priority="613">
      <formula>$D11="1 - 2"</formula>
    </cfRule>
    <cfRule type="expression" dxfId="673" priority="614">
      <formula>OR($D15="3 - 4",$D15="5 - 6")</formula>
    </cfRule>
  </conditionalFormatting>
  <conditionalFormatting sqref="S11:S12">
    <cfRule type="expression" dxfId="672" priority="601">
      <formula>OR($D15="3 - 4",$D15="5 - 6")</formula>
    </cfRule>
    <cfRule type="expression" dxfId="671" priority="602">
      <formula>$D15="7 - 8"</formula>
    </cfRule>
    <cfRule type="expression" dxfId="670" priority="603">
      <formula>$D15="1 - 2"</formula>
    </cfRule>
  </conditionalFormatting>
  <conditionalFormatting sqref="S12">
    <cfRule type="expression" dxfId="669" priority="594">
      <formula>OR($D12="3 - 4",$D12="5 - 6")</formula>
    </cfRule>
    <cfRule type="expression" dxfId="668" priority="600">
      <formula>$D12="1 - 2"</formula>
    </cfRule>
    <cfRule type="expression" dxfId="667" priority="593">
      <formula>$D16="1 - 2"</formula>
    </cfRule>
    <cfRule type="expression" dxfId="666" priority="595">
      <formula>$D12="7 - 8"</formula>
    </cfRule>
    <cfRule type="expression" dxfId="665" priority="591">
      <formula>OR($D16="3 - 4",$D16="5 - 6")</formula>
    </cfRule>
    <cfRule type="expression" dxfId="664" priority="592">
      <formula>$D16="7 - 8"</formula>
    </cfRule>
    <cfRule type="expression" dxfId="663" priority="596">
      <formula>$D12="1 - 2"</formula>
    </cfRule>
    <cfRule type="expression" dxfId="662" priority="598">
      <formula>OR($D12="3 - 4",$D12="5 - 6")</formula>
    </cfRule>
    <cfRule type="expression" dxfId="661" priority="599">
      <formula>$D12="7 - 8"</formula>
    </cfRule>
  </conditionalFormatting>
  <conditionalFormatting sqref="S14:S16">
    <cfRule type="expression" dxfId="660" priority="2132">
      <formula>OR($D18="3 - 4",$D18="5 - 6")</formula>
    </cfRule>
    <cfRule type="expression" dxfId="659" priority="2133">
      <formula>$D18="7 - 8"</formula>
    </cfRule>
    <cfRule type="expression" dxfId="658" priority="2134">
      <formula>$D18="1 - 2"</formula>
    </cfRule>
    <cfRule type="expression" dxfId="657" priority="2138">
      <formula>$D14="1 - 2"</formula>
    </cfRule>
    <cfRule type="expression" dxfId="656" priority="2137">
      <formula>$D14="7 - 8"</formula>
    </cfRule>
    <cfRule type="expression" dxfId="655" priority="2136">
      <formula>OR($D14="3 - 4",$D14="5 - 6")</formula>
    </cfRule>
  </conditionalFormatting>
  <conditionalFormatting sqref="S18:S19">
    <cfRule type="expression" dxfId="654" priority="357">
      <formula>$D22="1 - 2"</formula>
    </cfRule>
    <cfRule type="expression" dxfId="653" priority="355">
      <formula>OR($D22="3 - 4",$D22="5 - 6")</formula>
    </cfRule>
    <cfRule type="expression" dxfId="652" priority="356">
      <formula>$D22="7 - 8"</formula>
    </cfRule>
  </conditionalFormatting>
  <conditionalFormatting sqref="S18:S20">
    <cfRule type="expression" dxfId="651" priority="354">
      <formula>$D18="1 - 2"</formula>
    </cfRule>
    <cfRule type="expression" dxfId="650" priority="353">
      <formula>$D18="7 - 8"</formula>
    </cfRule>
    <cfRule type="expression" dxfId="649" priority="352">
      <formula>OR($D18="3 - 4",$D18="5 - 6")</formula>
    </cfRule>
  </conditionalFormatting>
  <conditionalFormatting sqref="S19">
    <cfRule type="expression" dxfId="648" priority="341">
      <formula>OR($D23="3 - 4",$D23="5 - 6")</formula>
    </cfRule>
    <cfRule type="expression" dxfId="647" priority="342">
      <formula>$D23="7 - 8"</formula>
    </cfRule>
    <cfRule type="expression" dxfId="646" priority="343">
      <formula>$D23="1 - 2"</formula>
    </cfRule>
    <cfRule type="expression" dxfId="645" priority="344">
      <formula>OR($D19="3 - 4",$D19="5 - 6")</formula>
    </cfRule>
    <cfRule type="expression" dxfId="644" priority="345">
      <formula>$D19="7 - 8"</formula>
    </cfRule>
    <cfRule type="expression" dxfId="643" priority="346">
      <formula>$D19="1 - 2"</formula>
    </cfRule>
    <cfRule type="expression" dxfId="642" priority="348">
      <formula>OR($D23="3 - 4",$D23="5 - 6")</formula>
    </cfRule>
    <cfRule type="expression" dxfId="641" priority="350">
      <formula>$D23="1 - 2"</formula>
    </cfRule>
    <cfRule type="expression" dxfId="640" priority="349">
      <formula>$D23="7 - 8"</formula>
    </cfRule>
  </conditionalFormatting>
  <conditionalFormatting sqref="S22:S23 S30:S31">
    <cfRule type="expression" dxfId="639" priority="3336">
      <formula>OR($D26="3 - 4",$D26="5 - 6")</formula>
    </cfRule>
    <cfRule type="expression" dxfId="638" priority="3337">
      <formula>$D26="7 - 8"</formula>
    </cfRule>
    <cfRule type="expression" dxfId="637" priority="3338">
      <formula>$D26="1 - 2"</formula>
    </cfRule>
  </conditionalFormatting>
  <conditionalFormatting sqref="S22:S23">
    <cfRule type="expression" dxfId="636" priority="3339">
      <formula>OR(S$5="By",S$5="CN",S$5="")</formula>
    </cfRule>
  </conditionalFormatting>
  <conditionalFormatting sqref="S26:S27">
    <cfRule type="expression" dxfId="635" priority="9">
      <formula>OR($D30="3 - 4",$D30="5 - 6")</formula>
    </cfRule>
    <cfRule type="expression" dxfId="634" priority="13">
      <formula>OR($D26="3 - 4",$D26="5 - 6")</formula>
    </cfRule>
    <cfRule type="expression" dxfId="633" priority="14">
      <formula>$D26="7 - 8"</formula>
    </cfRule>
    <cfRule type="expression" dxfId="632" priority="15">
      <formula>$D26="1 - 2"</formula>
    </cfRule>
    <cfRule type="expression" dxfId="631" priority="10">
      <formula>$D30="7 - 8"</formula>
    </cfRule>
    <cfRule type="expression" dxfId="630" priority="11">
      <formula>$D30="1 - 2"</formula>
    </cfRule>
  </conditionalFormatting>
  <conditionalFormatting sqref="S28">
    <cfRule type="expression" dxfId="629" priority="116">
      <formula>OR($D36="3 - 4",$D36="5 - 6")</formula>
    </cfRule>
    <cfRule type="expression" dxfId="628" priority="113">
      <formula>OR($D32="3 - 4",$D32="5 - 6")</formula>
    </cfRule>
    <cfRule type="expression" dxfId="627" priority="111">
      <formula>$D36="1 - 2"</formula>
    </cfRule>
    <cfRule type="expression" dxfId="626" priority="110">
      <formula>$D36="7 - 8"</formula>
    </cfRule>
    <cfRule type="expression" dxfId="625" priority="109">
      <formula>OR($D36="3 - 4",$D36="5 - 6")</formula>
    </cfRule>
    <cfRule type="expression" dxfId="624" priority="107">
      <formula>$D32="1 - 2"</formula>
    </cfRule>
    <cfRule type="expression" dxfId="623" priority="106">
      <formula>$D32="7 - 8"</formula>
    </cfRule>
    <cfRule type="expression" dxfId="622" priority="117">
      <formula>$D36="7 - 8"</formula>
    </cfRule>
    <cfRule type="expression" dxfId="621" priority="114">
      <formula>$D32="7 - 8"</formula>
    </cfRule>
    <cfRule type="expression" dxfId="620" priority="105">
      <formula>OR($D32="3 - 4",$D32="5 - 6")</formula>
    </cfRule>
    <cfRule type="expression" dxfId="619" priority="104">
      <formula>$D36="1 - 2"</formula>
    </cfRule>
    <cfRule type="expression" dxfId="618" priority="103">
      <formula>$D36="7 - 8"</formula>
    </cfRule>
    <cfRule type="expression" dxfId="617" priority="115">
      <formula>$D32="1 - 2"</formula>
    </cfRule>
    <cfRule type="expression" dxfId="616" priority="102">
      <formula>OR($D36="3 - 4",$D36="5 - 6")</formula>
    </cfRule>
    <cfRule type="expression" dxfId="615" priority="118">
      <formula>$D36="1 - 2"</formula>
    </cfRule>
  </conditionalFormatting>
  <conditionalFormatting sqref="S37:T38">
    <cfRule type="expression" dxfId="614" priority="3495">
      <formula>OR(S$5="By",S$5="CN",S$5="")</formula>
    </cfRule>
  </conditionalFormatting>
  <conditionalFormatting sqref="S39:Y39">
    <cfRule type="expression" dxfId="613" priority="3487">
      <formula>OR(S$5="By",S$5="CN",S$5="")</formula>
    </cfRule>
  </conditionalFormatting>
  <conditionalFormatting sqref="S38:AC39">
    <cfRule type="expression" dxfId="612" priority="3482">
      <formula>$D38="1 - 2"</formula>
    </cfRule>
    <cfRule type="expression" dxfId="611" priority="3481">
      <formula>$D38="7 - 8"</formula>
    </cfRule>
    <cfRule type="expression" dxfId="610" priority="3480">
      <formula>OR($D38="3 - 4",$D38="5 - 6")</formula>
    </cfRule>
  </conditionalFormatting>
  <conditionalFormatting sqref="S40:AC40">
    <cfRule type="expression" dxfId="609" priority="3620">
      <formula>OR(S$5="By",S$5="CN",S$5="")</formula>
    </cfRule>
  </conditionalFormatting>
  <conditionalFormatting sqref="S40:AD40">
    <cfRule type="expression" dxfId="608" priority="3602">
      <formula>$D40="1 - 2"</formula>
    </cfRule>
    <cfRule type="expression" dxfId="607" priority="3600">
      <formula>OR($D40="3 - 4",$D40="5 - 6")</formula>
    </cfRule>
    <cfRule type="expression" dxfId="606" priority="3601">
      <formula>$D40="7 - 8"</formula>
    </cfRule>
  </conditionalFormatting>
  <conditionalFormatting sqref="T10:T12">
    <cfRule type="expression" dxfId="605" priority="833">
      <formula>OR($D14="3 - 4",$D14="5 - 6")</formula>
    </cfRule>
    <cfRule type="expression" dxfId="604" priority="834">
      <formula>$D14="7 - 8"</formula>
    </cfRule>
    <cfRule type="expression" dxfId="603" priority="835">
      <formula>$D14="1 - 2"</formula>
    </cfRule>
  </conditionalFormatting>
  <conditionalFormatting sqref="T11:T12">
    <cfRule type="expression" dxfId="602" priority="836">
      <formula>OR($D11="3 - 4",$D11="5 - 6")</formula>
    </cfRule>
    <cfRule type="expression" dxfId="601" priority="837">
      <formula>$D11="7 - 8"</formula>
    </cfRule>
    <cfRule type="expression" dxfId="600" priority="838">
      <formula>$D11="1 - 2"</formula>
    </cfRule>
  </conditionalFormatting>
  <conditionalFormatting sqref="T14">
    <cfRule type="expression" dxfId="599" priority="2127">
      <formula>$D18="1 - 2"</formula>
    </cfRule>
    <cfRule type="expression" dxfId="598" priority="2126">
      <formula>$D18="7 - 8"</formula>
    </cfRule>
    <cfRule type="expression" dxfId="597" priority="2125">
      <formula>OR($D18="3 - 4",$D18="5 - 6")</formula>
    </cfRule>
  </conditionalFormatting>
  <conditionalFormatting sqref="T17 E30:E32 AD16">
    <cfRule type="expression" dxfId="596" priority="2408">
      <formula>OR($D20="3 - 4",$D20="5 - 6")</formula>
    </cfRule>
  </conditionalFormatting>
  <conditionalFormatting sqref="T17 AE17:AF17 C30:E41">
    <cfRule type="expression" dxfId="595" priority="2405">
      <formula>OR($D17="3 - 4",$D17="5 - 6")</formula>
    </cfRule>
    <cfRule type="expression" dxfId="594" priority="2406">
      <formula>$D17="7 - 8"</formula>
    </cfRule>
    <cfRule type="expression" dxfId="593" priority="2407">
      <formula>$D17="1 - 2"</formula>
    </cfRule>
  </conditionalFormatting>
  <conditionalFormatting sqref="T17">
    <cfRule type="expression" dxfId="592" priority="1782">
      <formula>$D18="7 - 8"</formula>
    </cfRule>
    <cfRule type="expression" dxfId="591" priority="1783">
      <formula>$D18="1 - 2"</formula>
    </cfRule>
    <cfRule type="expression" dxfId="590" priority="1781">
      <formula>OR($D18="3 - 4",$D18="5 - 6")</formula>
    </cfRule>
    <cfRule type="expression" dxfId="589" priority="1779">
      <formula>$D22="1 - 2"</formula>
    </cfRule>
    <cfRule type="expression" dxfId="588" priority="1777">
      <formula>OR($D22="3 - 4",$D22="5 - 6")</formula>
    </cfRule>
    <cfRule type="expression" dxfId="587" priority="4663">
      <formula>OR(AD$5="By",AD$5="CN",AD$5="")</formula>
    </cfRule>
    <cfRule type="expression" dxfId="586" priority="1778">
      <formula>$D22="7 - 8"</formula>
    </cfRule>
  </conditionalFormatting>
  <conditionalFormatting sqref="T18:T20">
    <cfRule type="expression" dxfId="585" priority="337">
      <formula>$D18="1 - 2"</formula>
    </cfRule>
    <cfRule type="expression" dxfId="584" priority="340">
      <formula>$D22="1 - 2"</formula>
    </cfRule>
    <cfRule type="expression" dxfId="583" priority="325">
      <formula>$D22="7 - 8"</formula>
    </cfRule>
    <cfRule type="expression" dxfId="582" priority="326">
      <formula>$D22="1 - 2"</formula>
    </cfRule>
    <cfRule type="expression" dxfId="581" priority="327">
      <formula>OR($D18="3 - 4",$D18="5 - 6")</formula>
    </cfRule>
    <cfRule type="expression" dxfId="580" priority="328">
      <formula>$D18="7 - 8"</formula>
    </cfRule>
    <cfRule type="expression" dxfId="579" priority="329">
      <formula>$D18="1 - 2"</formula>
    </cfRule>
    <cfRule type="expression" dxfId="578" priority="331">
      <formula>OR($D22="3 - 4",$D22="5 - 6")</formula>
    </cfRule>
    <cfRule type="expression" dxfId="577" priority="332">
      <formula>$D22="7 - 8"</formula>
    </cfRule>
    <cfRule type="expression" dxfId="576" priority="333">
      <formula>$D22="1 - 2"</formula>
    </cfRule>
    <cfRule type="expression" dxfId="575" priority="336">
      <formula>$D18="7 - 8"</formula>
    </cfRule>
    <cfRule type="expression" dxfId="574" priority="338">
      <formula>OR($D22="3 - 4",$D22="5 - 6")</formula>
    </cfRule>
    <cfRule type="expression" dxfId="573" priority="339">
      <formula>$D22="7 - 8"</formula>
    </cfRule>
    <cfRule type="expression" dxfId="572" priority="335">
      <formula>OR($D18="3 - 4",$D18="5 - 6")</formula>
    </cfRule>
    <cfRule type="expression" dxfId="571" priority="324">
      <formula>OR($D22="3 - 4",$D22="5 - 6")</formula>
    </cfRule>
  </conditionalFormatting>
  <conditionalFormatting sqref="T30:T33">
    <cfRule type="expression" dxfId="570" priority="998">
      <formula>$D34="1 - 2"</formula>
    </cfRule>
    <cfRule type="expression" dxfId="569" priority="997">
      <formula>$D34="7 - 8"</formula>
    </cfRule>
    <cfRule type="expression" dxfId="568" priority="996">
      <formula>OR($D34="3 - 4",$D34="5 - 6")</formula>
    </cfRule>
  </conditionalFormatting>
  <conditionalFormatting sqref="T6:V7 T8 V8">
    <cfRule type="expression" dxfId="567" priority="2814">
      <formula>$D10="7 - 8"</formula>
    </cfRule>
    <cfRule type="expression" dxfId="566" priority="2815">
      <formula>$D10="1 - 2"</formula>
    </cfRule>
    <cfRule type="expression" dxfId="565" priority="2813">
      <formula>OR($D10="3 - 4",$D10="5 - 6")</formula>
    </cfRule>
  </conditionalFormatting>
  <conditionalFormatting sqref="T22:V22">
    <cfRule type="expression" dxfId="564" priority="2539">
      <formula>OR($D26="3 - 4",$D26="5 - 6")</formula>
    </cfRule>
    <cfRule type="expression" dxfId="563" priority="2540">
      <formula>$D26="7 - 8"</formula>
    </cfRule>
    <cfRule type="expression" dxfId="562" priority="2541">
      <formula>$D26="1 - 2"</formula>
    </cfRule>
  </conditionalFormatting>
  <conditionalFormatting sqref="T23:V24">
    <cfRule type="expression" dxfId="561" priority="2525">
      <formula>OR($D27="3 - 4",$D27="5 - 6")</formula>
    </cfRule>
    <cfRule type="expression" dxfId="560" priority="2527">
      <formula>$D27="1 - 2"</formula>
    </cfRule>
    <cfRule type="expression" dxfId="559" priority="2523">
      <formula>$D23="7 - 8"</formula>
    </cfRule>
    <cfRule type="expression" dxfId="558" priority="2522">
      <formula>OR($D23="3 - 4",$D23="5 - 6")</formula>
    </cfRule>
    <cfRule type="expression" dxfId="557" priority="2526">
      <formula>$D27="7 - 8"</formula>
    </cfRule>
    <cfRule type="expression" dxfId="556" priority="2524">
      <formula>$D23="1 - 2"</formula>
    </cfRule>
  </conditionalFormatting>
  <conditionalFormatting sqref="T26:V27 T28 V28">
    <cfRule type="expression" dxfId="555" priority="57">
      <formula>$D30="1 - 2"</formula>
    </cfRule>
    <cfRule type="expression" dxfId="554" priority="55">
      <formula>OR($D30="3 - 4",$D30="5 - 6")</formula>
    </cfRule>
    <cfRule type="expression" dxfId="553" priority="56">
      <formula>$D30="7 - 8"</formula>
    </cfRule>
  </conditionalFormatting>
  <conditionalFormatting sqref="T14:W16">
    <cfRule type="expression" dxfId="552" priority="2129">
      <formula>OR($D14="3 - 4",$D14="5 - 6")</formula>
    </cfRule>
    <cfRule type="expression" dxfId="551" priority="2130">
      <formula>$D14="7 - 8"</formula>
    </cfRule>
    <cfRule type="expression" dxfId="550" priority="2131">
      <formula>$D14="1 - 2"</formula>
    </cfRule>
  </conditionalFormatting>
  <conditionalFormatting sqref="T15:W16">
    <cfRule type="expression" dxfId="549" priority="2673">
      <formula>OR($D19="3 - 4",$D19="5 - 6")</formula>
    </cfRule>
    <cfRule type="expression" dxfId="548" priority="2675">
      <formula>$D19="1 - 2"</formula>
    </cfRule>
    <cfRule type="expression" dxfId="547" priority="2674">
      <formula>$D19="7 - 8"</formula>
    </cfRule>
  </conditionalFormatting>
  <conditionalFormatting sqref="T30:W32">
    <cfRule type="expression" dxfId="546" priority="1007">
      <formula>OR($D30="3 - 4",$D30="5 - 6")</formula>
    </cfRule>
    <cfRule type="expression" dxfId="545" priority="1008">
      <formula>$D30="7 - 8"</formula>
    </cfRule>
    <cfRule type="expression" dxfId="544" priority="1009">
      <formula>$D30="1 - 2"</formula>
    </cfRule>
  </conditionalFormatting>
  <conditionalFormatting sqref="U10:U12">
    <cfRule type="expression" dxfId="543" priority="589">
      <formula>$D14="7 - 8"</formula>
    </cfRule>
    <cfRule type="expression" dxfId="542" priority="588">
      <formula>OR($D14="3 - 4",$D14="5 - 6")</formula>
    </cfRule>
    <cfRule type="expression" dxfId="541" priority="587">
      <formula>$D10="1 - 2"</formula>
    </cfRule>
    <cfRule type="expression" dxfId="540" priority="586">
      <formula>$D10="7 - 8"</formula>
    </cfRule>
    <cfRule type="expression" dxfId="539" priority="585">
      <formula>OR($D10="3 - 4",$D10="5 - 6")</formula>
    </cfRule>
    <cfRule type="expression" dxfId="538" priority="583">
      <formula>$D10="1 - 2"</formula>
    </cfRule>
    <cfRule type="expression" dxfId="537" priority="582">
      <formula>$D10="7 - 8"</formula>
    </cfRule>
    <cfRule type="expression" dxfId="536" priority="581">
      <formula>OR($D10="3 - 4",$D10="5 - 6")</formula>
    </cfRule>
    <cfRule type="expression" dxfId="535" priority="580">
      <formula>$D14="1 - 2"</formula>
    </cfRule>
    <cfRule type="expression" dxfId="534" priority="579">
      <formula>$D14="7 - 8"</formula>
    </cfRule>
    <cfRule type="expression" dxfId="533" priority="578">
      <formula>OR($D14="3 - 4",$D14="5 - 6")</formula>
    </cfRule>
    <cfRule type="expression" dxfId="532" priority="590">
      <formula>$D14="1 - 2"</formula>
    </cfRule>
  </conditionalFormatting>
  <conditionalFormatting sqref="U20">
    <cfRule type="expression" dxfId="531" priority="308">
      <formula>$D24="7 - 8"</formula>
    </cfRule>
    <cfRule type="expression" dxfId="530" priority="310">
      <formula>OR($D20="3 - 4",$D20="5 - 6")</formula>
    </cfRule>
    <cfRule type="expression" dxfId="529" priority="319">
      <formula>$D20="7 - 8"</formula>
    </cfRule>
    <cfRule type="expression" dxfId="528" priority="320">
      <formula>$D20="1 - 2"</formula>
    </cfRule>
    <cfRule type="expression" dxfId="527" priority="321">
      <formula>OR($D24="3 - 4",$D24="5 - 6")</formula>
    </cfRule>
    <cfRule type="expression" dxfId="526" priority="322">
      <formula>$D24="7 - 8"</formula>
    </cfRule>
    <cfRule type="expression" dxfId="525" priority="323">
      <formula>$D24="1 - 2"</formula>
    </cfRule>
    <cfRule type="expression" dxfId="524" priority="316">
      <formula>$D24="1 - 2"</formula>
    </cfRule>
    <cfRule type="expression" dxfId="523" priority="315">
      <formula>$D24="7 - 8"</formula>
    </cfRule>
    <cfRule type="expression" dxfId="522" priority="314">
      <formula>OR($D24="3 - 4",$D24="5 - 6")</formula>
    </cfRule>
    <cfRule type="expression" dxfId="521" priority="312">
      <formula>$D20="1 - 2"</formula>
    </cfRule>
    <cfRule type="expression" dxfId="520" priority="307">
      <formula>OR($D24="3 - 4",$D24="5 - 6")</formula>
    </cfRule>
    <cfRule type="expression" dxfId="519" priority="309">
      <formula>$D24="1 - 2"</formula>
    </cfRule>
    <cfRule type="expression" dxfId="518" priority="318">
      <formula>OR($D20="3 - 4",$D20="5 - 6")</formula>
    </cfRule>
    <cfRule type="expression" dxfId="517" priority="311">
      <formula>$D20="7 - 8"</formula>
    </cfRule>
  </conditionalFormatting>
  <conditionalFormatting sqref="U14:V14">
    <cfRule type="expression" dxfId="516" priority="2687">
      <formula>OR($D18="3 - 4",$D18="5 - 6")</formula>
    </cfRule>
    <cfRule type="expression" dxfId="515" priority="2688">
      <formula>$D18="7 - 8"</formula>
    </cfRule>
    <cfRule type="expression" dxfId="514" priority="2689">
      <formula>$D18="1 - 2"</formula>
    </cfRule>
  </conditionalFormatting>
  <conditionalFormatting sqref="U30:V32">
    <cfRule type="expression" dxfId="513" priority="2375">
      <formula>$D34="1 - 2"</formula>
    </cfRule>
    <cfRule type="expression" dxfId="512" priority="2373">
      <formula>OR($D34="3 - 4",$D34="5 - 6")</formula>
    </cfRule>
    <cfRule type="expression" dxfId="511" priority="2374">
      <formula>$D34="7 - 8"</formula>
    </cfRule>
  </conditionalFormatting>
  <conditionalFormatting sqref="U37:W37">
    <cfRule type="expression" dxfId="510" priority="4056">
      <formula>OR(U$5="By",U$5="CN",U$5="")</formula>
    </cfRule>
  </conditionalFormatting>
  <conditionalFormatting sqref="U38:Y38">
    <cfRule type="expression" dxfId="509" priority="3491">
      <formula>OR(U$5="By",U$5="CN",U$5="")</formula>
    </cfRule>
  </conditionalFormatting>
  <conditionalFormatting sqref="U33:Z33 K33:L33">
    <cfRule type="expression" dxfId="508" priority="1989">
      <formula>OR($D33="3 - 4",$D33="5 - 6")</formula>
    </cfRule>
  </conditionalFormatting>
  <conditionalFormatting sqref="V10:V12">
    <cfRule type="expression" dxfId="507" priority="2747">
      <formula>$D14="1 - 2"</formula>
    </cfRule>
    <cfRule type="expression" dxfId="506" priority="2746">
      <formula>$D14="7 - 8"</formula>
    </cfRule>
    <cfRule type="expression" dxfId="505" priority="2745">
      <formula>OR($D14="3 - 4",$D14="5 - 6")</formula>
    </cfRule>
  </conditionalFormatting>
  <conditionalFormatting sqref="V18:V20">
    <cfRule type="expression" dxfId="504" priority="2603">
      <formula>$D22="1 - 2"</formula>
    </cfRule>
    <cfRule type="expression" dxfId="503" priority="2602">
      <formula>$D22="7 - 8"</formula>
    </cfRule>
    <cfRule type="expression" dxfId="502" priority="2601">
      <formula>OR($D22="3 - 4",$D22="5 - 6")</formula>
    </cfRule>
  </conditionalFormatting>
  <conditionalFormatting sqref="V10:W11">
    <cfRule type="expression" dxfId="501" priority="829">
      <formula>OR($D10="3 - 4",$D10="5 - 6")</formula>
    </cfRule>
    <cfRule type="expression" dxfId="500" priority="831">
      <formula>$D10="1 - 2"</formula>
    </cfRule>
    <cfRule type="expression" dxfId="499" priority="830">
      <formula>$D10="7 - 8"</formula>
    </cfRule>
  </conditionalFormatting>
  <conditionalFormatting sqref="V19:W20">
    <cfRule type="expression" dxfId="498" priority="1212">
      <formula>$D19="1 - 2"</formula>
    </cfRule>
    <cfRule type="expression" dxfId="497" priority="1210">
      <formula>OR($D19="3 - 4",$D19="5 - 6")</formula>
    </cfRule>
    <cfRule type="expression" dxfId="496" priority="1211">
      <formula>$D19="7 - 8"</formula>
    </cfRule>
  </conditionalFormatting>
  <conditionalFormatting sqref="V35:W36">
    <cfRule type="expression" dxfId="495" priority="2946">
      <formula>OR(V$5="By",V$5="CN",V$5="")</formula>
    </cfRule>
  </conditionalFormatting>
  <conditionalFormatting sqref="V12:X12">
    <cfRule type="expression" dxfId="494" priority="823">
      <formula>$D12="7 - 8"</formula>
    </cfRule>
    <cfRule type="expression" dxfId="493" priority="824">
      <formula>$D12="1 - 2"</formula>
    </cfRule>
    <cfRule type="expression" dxfId="492" priority="822">
      <formula>OR($D12="3 - 4",$D12="5 - 6")</formula>
    </cfRule>
  </conditionalFormatting>
  <conditionalFormatting sqref="V18:X18 V19:W20 G22:AI24">
    <cfRule type="expression" dxfId="491" priority="2016">
      <formula>OR(G$5="By",G$5="CN",G$5="")</formula>
    </cfRule>
  </conditionalFormatting>
  <conditionalFormatting sqref="V18:X18">
    <cfRule type="expression" dxfId="490" priority="2019">
      <formula>$D18="1 - 2"</formula>
    </cfRule>
    <cfRule type="expression" dxfId="489" priority="2018">
      <formula>$D18="7 - 8"</formula>
    </cfRule>
    <cfRule type="expression" dxfId="488" priority="2017">
      <formula>OR($D18="3 - 4",$D18="5 - 6")</formula>
    </cfRule>
  </conditionalFormatting>
  <conditionalFormatting sqref="V34:AD34">
    <cfRule type="expression" dxfId="487" priority="3963">
      <formula>OR(V$5="By",V$5="CN",V$5="")</formula>
    </cfRule>
  </conditionalFormatting>
  <conditionalFormatting sqref="W10">
    <cfRule type="expression" dxfId="486" priority="826">
      <formula>OR($D14="3 - 4",$D14="5 - 6")</formula>
    </cfRule>
    <cfRule type="expression" dxfId="485" priority="828">
      <formula>$D14="1 - 2"</formula>
    </cfRule>
    <cfRule type="expression" dxfId="484" priority="827">
      <formula>$D14="7 - 8"</formula>
    </cfRule>
  </conditionalFormatting>
  <conditionalFormatting sqref="W12">
    <cfRule type="expression" dxfId="483" priority="821">
      <formula>$D16="1 - 2"</formula>
    </cfRule>
    <cfRule type="expression" dxfId="482" priority="820">
      <formula>$D16="7 - 8"</formula>
    </cfRule>
    <cfRule type="expression" dxfId="481" priority="819">
      <formula>OR($D16="3 - 4",$D16="5 - 6")</formula>
    </cfRule>
  </conditionalFormatting>
  <conditionalFormatting sqref="W19:W20">
    <cfRule type="expression" dxfId="480" priority="1207">
      <formula>$D23="7 - 8"</formula>
    </cfRule>
    <cfRule type="expression" dxfId="479" priority="1208">
      <formula>$D23="1 - 2"</formula>
    </cfRule>
    <cfRule type="expression" dxfId="478" priority="1206">
      <formula>OR($D23="3 - 4",$D23="5 - 6")</formula>
    </cfRule>
  </conditionalFormatting>
  <conditionalFormatting sqref="W33">
    <cfRule type="expression" dxfId="477" priority="1985">
      <formula>OR($D37="3 - 4",$D37="5 - 6")</formula>
    </cfRule>
    <cfRule type="expression" dxfId="476" priority="1986">
      <formula>$D37="7 - 8"</formula>
    </cfRule>
    <cfRule type="expression" dxfId="475" priority="1987">
      <formula>$D37="1 - 2"</formula>
    </cfRule>
  </conditionalFormatting>
  <conditionalFormatting sqref="W23:AJ24">
    <cfRule type="expression" dxfId="474" priority="3164">
      <formula>$D23="7 - 8"</formula>
    </cfRule>
    <cfRule type="expression" dxfId="473" priority="3165">
      <formula>$D23="1 - 2"</formula>
    </cfRule>
  </conditionalFormatting>
  <conditionalFormatting sqref="W22:AK22">
    <cfRule type="expression" dxfId="472" priority="3450">
      <formula>$D22="1 - 2"</formula>
    </cfRule>
    <cfRule type="expression" dxfId="471" priority="3449">
      <formula>$D22="7 - 8"</formula>
    </cfRule>
  </conditionalFormatting>
  <conditionalFormatting sqref="W22:AK24">
    <cfRule type="expression" dxfId="470" priority="3163">
      <formula>OR($D22="3 - 4",$D22="5 - 6")</formula>
    </cfRule>
  </conditionalFormatting>
  <conditionalFormatting sqref="X9:X11">
    <cfRule type="expression" dxfId="469" priority="814">
      <formula>$D13="1 - 2"</formula>
    </cfRule>
    <cfRule type="expression" dxfId="468" priority="813">
      <formula>$D13="7 - 8"</formula>
    </cfRule>
    <cfRule type="expression" dxfId="467" priority="812">
      <formula>OR($D13="3 - 4",$D13="5 - 6")</formula>
    </cfRule>
  </conditionalFormatting>
  <conditionalFormatting sqref="X10:X11">
    <cfRule type="expression" dxfId="466" priority="817">
      <formula>$D10="1 - 2"</formula>
    </cfRule>
    <cfRule type="expression" dxfId="465" priority="816">
      <formula>$D10="7 - 8"</formula>
    </cfRule>
    <cfRule type="expression" dxfId="464" priority="815">
      <formula>OR($D10="3 - 4",$D10="5 - 6")</formula>
    </cfRule>
  </conditionalFormatting>
  <conditionalFormatting sqref="X16">
    <cfRule type="expression" dxfId="463" priority="1404">
      <formula>$D17="1 - 2"</formula>
    </cfRule>
    <cfRule type="expression" dxfId="462" priority="1400">
      <formula>$D21="7 - 8"</formula>
    </cfRule>
    <cfRule type="expression" dxfId="461" priority="1401">
      <formula>$D21="1 - 2"</formula>
    </cfRule>
    <cfRule type="expression" dxfId="460" priority="1402">
      <formula>OR($D17="3 - 4",$D17="5 - 6")</formula>
    </cfRule>
    <cfRule type="expression" dxfId="459" priority="1403">
      <formula>$D17="7 - 8"</formula>
    </cfRule>
    <cfRule type="expression" dxfId="458" priority="1399">
      <formula>OR($D21="3 - 4",$D21="5 - 6")</formula>
    </cfRule>
    <cfRule type="expression" dxfId="457" priority="1414">
      <formula>OR(AH$5="By",AH$5="CN",AH$5="")</formula>
    </cfRule>
    <cfRule type="expression" dxfId="456" priority="1407">
      <formula>$D16="1 - 2"</formula>
    </cfRule>
    <cfRule type="expression" dxfId="455" priority="1406">
      <formula>$D16="7 - 8"</formula>
    </cfRule>
    <cfRule type="expression" dxfId="454" priority="1405">
      <formula>OR($D16="3 - 4",$D16="5 - 6")</formula>
    </cfRule>
  </conditionalFormatting>
  <conditionalFormatting sqref="X18:X21">
    <cfRule type="expression" dxfId="453" priority="304">
      <formula>OR($D22="3 - 4",$D22="5 - 6")</formula>
    </cfRule>
    <cfRule type="expression" dxfId="452" priority="306">
      <formula>$D22="1 - 2"</formula>
    </cfRule>
    <cfRule type="expression" dxfId="451" priority="305">
      <formula>$D22="7 - 8"</formula>
    </cfRule>
  </conditionalFormatting>
  <conditionalFormatting sqref="X19:X21">
    <cfRule type="expression" dxfId="450" priority="290">
      <formula>OR($D23="3 - 4",$D23="5 - 6")</formula>
    </cfRule>
    <cfRule type="expression" dxfId="449" priority="291">
      <formula>$D23="7 - 8"</formula>
    </cfRule>
    <cfRule type="expression" dxfId="448" priority="292">
      <formula>$D23="1 - 2"</formula>
    </cfRule>
    <cfRule type="expression" dxfId="447" priority="303">
      <formula>$D19="1 - 2"</formula>
    </cfRule>
    <cfRule type="expression" dxfId="446" priority="302">
      <formula>$D19="7 - 8"</formula>
    </cfRule>
    <cfRule type="expression" dxfId="445" priority="301">
      <formula>OR($D19="3 - 4",$D19="5 - 6")</formula>
    </cfRule>
    <cfRule type="expression" dxfId="444" priority="299">
      <formula>$D23="1 - 2"</formula>
    </cfRule>
    <cfRule type="expression" dxfId="443" priority="298">
      <formula>$D23="7 - 8"</formula>
    </cfRule>
    <cfRule type="expression" dxfId="442" priority="297">
      <formula>OR($D23="3 - 4",$D23="5 - 6")</formula>
    </cfRule>
    <cfRule type="expression" dxfId="441" priority="296">
      <formula>OR(X$5="By",X$5="CN",X$5="")</formula>
    </cfRule>
    <cfRule type="expression" dxfId="440" priority="295">
      <formula>$D19="1 - 2"</formula>
    </cfRule>
    <cfRule type="expression" dxfId="439" priority="294">
      <formula>$D19="7 - 8"</formula>
    </cfRule>
    <cfRule type="expression" dxfId="438" priority="293">
      <formula>OR($D19="3 - 4",$D19="5 - 6")</formula>
    </cfRule>
  </conditionalFormatting>
  <conditionalFormatting sqref="X26:X27 T26:W28 L28:S28">
    <cfRule type="expression" dxfId="437" priority="42">
      <formula>$D26="7 - 8"</formula>
    </cfRule>
    <cfRule type="expression" dxfId="436" priority="41">
      <formula>OR($D26="3 - 4",$D26="5 - 6")</formula>
    </cfRule>
    <cfRule type="expression" dxfId="435" priority="43">
      <formula>$D26="1 - 2"</formula>
    </cfRule>
  </conditionalFormatting>
  <conditionalFormatting sqref="X26:X27 W26:W28 Q27:R28 U28">
    <cfRule type="expression" dxfId="434" priority="40">
      <formula>$D30="1 - 2"</formula>
    </cfRule>
    <cfRule type="expression" dxfId="433" priority="39">
      <formula>$D30="7 - 8"</formula>
    </cfRule>
    <cfRule type="expression" dxfId="432" priority="38">
      <formula>OR($D30="3 - 4",$D30="5 - 6")</formula>
    </cfRule>
  </conditionalFormatting>
  <conditionalFormatting sqref="X29">
    <cfRule type="expression" dxfId="431" priority="36">
      <formula>$D33="7 - 8"</formula>
    </cfRule>
    <cfRule type="expression" dxfId="430" priority="37">
      <formula>$D33="1 - 2"</formula>
    </cfRule>
    <cfRule type="expression" dxfId="429" priority="35">
      <formula>OR($D33="3 - 4",$D33="5 - 6")</formula>
    </cfRule>
  </conditionalFormatting>
  <conditionalFormatting sqref="X30:X31 Z30:Z31 X32:Z32">
    <cfRule type="expression" dxfId="428" priority="995">
      <formula>$D30="1 - 2"</formula>
    </cfRule>
    <cfRule type="expression" dxfId="427" priority="993">
      <formula>OR($D30="3 - 4",$D30="5 - 6")</formula>
    </cfRule>
    <cfRule type="expression" dxfId="426" priority="994">
      <formula>$D30="7 - 8"</formula>
    </cfRule>
  </conditionalFormatting>
  <conditionalFormatting sqref="X14:AA16">
    <cfRule type="expression" dxfId="425" priority="1413">
      <formula>$D14="1 - 2"</formula>
    </cfRule>
    <cfRule type="expression" dxfId="424" priority="1412">
      <formula>$D14="7 - 8"</formula>
    </cfRule>
    <cfRule type="expression" dxfId="423" priority="1411">
      <formula>OR($D14="3 - 4",$D14="5 - 6")</formula>
    </cfRule>
    <cfRule type="expression" dxfId="422" priority="1410">
      <formula>$D18="1 - 2"</formula>
    </cfRule>
    <cfRule type="expression" dxfId="421" priority="1408">
      <formula>OR($D18="3 - 4",$D18="5 - 6")</formula>
    </cfRule>
    <cfRule type="expression" dxfId="420" priority="1409">
      <formula>$D18="7 - 8"</formula>
    </cfRule>
  </conditionalFormatting>
  <conditionalFormatting sqref="X35:AD37">
    <cfRule type="expression" dxfId="419" priority="3047">
      <formula>OR(X$5="By",X$5="CN",X$5="")</formula>
    </cfRule>
  </conditionalFormatting>
  <conditionalFormatting sqref="Y6">
    <cfRule type="expression" dxfId="418" priority="727">
      <formula>OR($D10="3 - 4",$D10="5 - 6")</formula>
    </cfRule>
    <cfRule type="expression" dxfId="417" priority="728">
      <formula>$D10="7 - 8"</formula>
    </cfRule>
    <cfRule type="expression" dxfId="416" priority="729">
      <formula>$D10="1 - 2"</formula>
    </cfRule>
    <cfRule type="expression" dxfId="415" priority="731">
      <formula>OR($D6="3 - 4",$D6="5 - 6")</formula>
    </cfRule>
    <cfRule type="expression" dxfId="414" priority="732">
      <formula>$D6="7 - 8"</formula>
    </cfRule>
    <cfRule type="expression" dxfId="413" priority="733">
      <formula>$D6="1 - 2"</formula>
    </cfRule>
  </conditionalFormatting>
  <conditionalFormatting sqref="Y10:Y12">
    <cfRule type="expression" dxfId="412" priority="575">
      <formula>OR($D14="3 - 4",$D14="5 - 6")</formula>
    </cfRule>
    <cfRule type="expression" dxfId="411" priority="569">
      <formula>$D10="7 - 8"</formula>
    </cfRule>
    <cfRule type="expression" dxfId="410" priority="570">
      <formula>$D10="1 - 2"</formula>
    </cfRule>
    <cfRule type="expression" dxfId="409" priority="577">
      <formula>$D14="1 - 2"</formula>
    </cfRule>
    <cfRule type="expression" dxfId="408" priority="565">
      <formula>OR($D14="3 - 4",$D14="5 - 6")</formula>
    </cfRule>
    <cfRule type="expression" dxfId="407" priority="576">
      <formula>$D14="7 - 8"</formula>
    </cfRule>
    <cfRule type="expression" dxfId="406" priority="572">
      <formula>OR($D10="3 - 4",$D10="5 - 6")</formula>
    </cfRule>
    <cfRule type="expression" dxfId="405" priority="566">
      <formula>$D14="7 - 8"</formula>
    </cfRule>
    <cfRule type="expression" dxfId="404" priority="574">
      <formula>$D10="1 - 2"</formula>
    </cfRule>
    <cfRule type="expression" dxfId="403" priority="573">
      <formula>$D10="7 - 8"</formula>
    </cfRule>
    <cfRule type="expression" dxfId="402" priority="567">
      <formula>$D14="1 - 2"</formula>
    </cfRule>
    <cfRule type="expression" dxfId="401" priority="568">
      <formula>OR($D10="3 - 4",$D10="5 - 6")</formula>
    </cfRule>
  </conditionalFormatting>
  <conditionalFormatting sqref="Y18">
    <cfRule type="expression" dxfId="400" priority="285">
      <formula>$D18="7 - 8"</formula>
    </cfRule>
    <cfRule type="expression" dxfId="399" priority="289">
      <formula>$D26="1 - 2"</formula>
    </cfRule>
    <cfRule type="expression" dxfId="398" priority="288">
      <formula>$D26="7 - 8"</formula>
    </cfRule>
    <cfRule type="expression" dxfId="397" priority="287">
      <formula>OR($D26="3 - 4",$D26="5 - 6")</formula>
    </cfRule>
    <cfRule type="expression" dxfId="396" priority="286">
      <formula>$D18="1 - 2"</formula>
    </cfRule>
    <cfRule type="expression" dxfId="395" priority="284">
      <formula>OR($D18="3 - 4",$D18="5 - 6")</formula>
    </cfRule>
    <cfRule type="expression" dxfId="394" priority="282">
      <formula>$D22="1 - 2"</formula>
    </cfRule>
    <cfRule type="expression" dxfId="393" priority="280">
      <formula>OR($D22="3 - 4",$D22="5 - 6")</formula>
    </cfRule>
    <cfRule type="expression" dxfId="392" priority="279">
      <formula>$D18="1 - 2"</formula>
    </cfRule>
    <cfRule type="expression" dxfId="391" priority="276">
      <formula>$D19="1 - 2"</formula>
    </cfRule>
    <cfRule type="expression" dxfId="390" priority="275">
      <formula>$D19="7 - 8"</formula>
    </cfRule>
    <cfRule type="expression" dxfId="389" priority="278">
      <formula>$D18="7 - 8"</formula>
    </cfRule>
    <cfRule type="expression" dxfId="388" priority="277">
      <formula>OR($D18="3 - 4",$D18="5 - 6")</formula>
    </cfRule>
    <cfRule type="expression" dxfId="387" priority="274">
      <formula>OR($D19="3 - 4",$D19="5 - 6")</formula>
    </cfRule>
    <cfRule type="expression" dxfId="386" priority="273">
      <formula>$D23="1 - 2"</formula>
    </cfRule>
    <cfRule type="expression" dxfId="385" priority="272">
      <formula>$D23="7 - 8"</formula>
    </cfRule>
    <cfRule type="expression" dxfId="384" priority="271">
      <formula>OR($D23="3 - 4",$D23="5 - 6")</formula>
    </cfRule>
    <cfRule type="expression" dxfId="383" priority="281">
      <formula>$D22="7 - 8"</formula>
    </cfRule>
  </conditionalFormatting>
  <conditionalFormatting sqref="Y18:Y19">
    <cfRule type="expression" dxfId="382" priority="266">
      <formula>$D26="1 - 2"</formula>
    </cfRule>
    <cfRule type="expression" dxfId="381" priority="265">
      <formula>$D26="7 - 8"</formula>
    </cfRule>
    <cfRule type="expression" dxfId="380" priority="264">
      <formula>OR($D26="3 - 4",$D26="5 - 6")</formula>
    </cfRule>
  </conditionalFormatting>
  <conditionalFormatting sqref="Y18:Y20">
    <cfRule type="expression" dxfId="379" priority="237">
      <formula>OR(AB$5="By",AB$5="CN",AB$5="")</formula>
    </cfRule>
  </conditionalFormatting>
  <conditionalFormatting sqref="Y19">
    <cfRule type="expression" dxfId="378" priority="262">
      <formula>$D19="7 - 8"</formula>
    </cfRule>
    <cfRule type="expression" dxfId="377" priority="254">
      <formula>OR($D19="3 - 4",$D19="5 - 6")</formula>
    </cfRule>
    <cfRule type="expression" dxfId="376" priority="263">
      <formula>$D19="1 - 2"</formula>
    </cfRule>
    <cfRule type="expression" dxfId="375" priority="258">
      <formula>$D23="7 - 8"</formula>
    </cfRule>
    <cfRule type="expression" dxfId="374" priority="261">
      <formula>OR($D19="3 - 4",$D19="5 - 6")</formula>
    </cfRule>
    <cfRule type="expression" dxfId="373" priority="257">
      <formula>OR($D23="3 - 4",$D23="5 - 6")</formula>
    </cfRule>
    <cfRule type="expression" dxfId="372" priority="256">
      <formula>$D19="1 - 2"</formula>
    </cfRule>
    <cfRule type="expression" dxfId="371" priority="255">
      <formula>$D19="7 - 8"</formula>
    </cfRule>
    <cfRule type="expression" dxfId="370" priority="248">
      <formula>OR($D24="3 - 4",$D24="5 - 6")</formula>
    </cfRule>
    <cfRule type="expression" dxfId="369" priority="249">
      <formula>$D24="7 - 8"</formula>
    </cfRule>
    <cfRule type="expression" dxfId="368" priority="250">
      <formula>$D24="1 - 2"</formula>
    </cfRule>
    <cfRule type="expression" dxfId="367" priority="251">
      <formula>OR($D20="3 - 4",$D20="5 - 6")</formula>
    </cfRule>
    <cfRule type="expression" dxfId="366" priority="252">
      <formula>$D20="7 - 8"</formula>
    </cfRule>
    <cfRule type="expression" dxfId="365" priority="253">
      <formula>$D20="1 - 2"</formula>
    </cfRule>
    <cfRule type="expression" dxfId="364" priority="259">
      <formula>$D23="1 - 2"</formula>
    </cfRule>
  </conditionalFormatting>
  <conditionalFormatting sqref="Y19:Y20">
    <cfRule type="expression" dxfId="363" priority="241">
      <formula>OR($D27="3 - 4",$D27="5 - 6")</formula>
    </cfRule>
    <cfRule type="expression" dxfId="362" priority="242">
      <formula>$D27="7 - 8"</formula>
    </cfRule>
    <cfRule type="expression" dxfId="361" priority="243">
      <formula>$D27="1 - 2"</formula>
    </cfRule>
  </conditionalFormatting>
  <conditionalFormatting sqref="Y20">
    <cfRule type="expression" dxfId="360" priority="227">
      <formula>$D25="1 - 2"</formula>
    </cfRule>
    <cfRule type="expression" dxfId="359" priority="226">
      <formula>$D25="7 - 8"</formula>
    </cfRule>
    <cfRule type="expression" dxfId="358" priority="225">
      <formula>OR($D25="3 - 4",$D25="5 - 6")</formula>
    </cfRule>
    <cfRule type="expression" dxfId="357" priority="228">
      <formula>OR($D21="3 - 4",$D21="5 - 6")</formula>
    </cfRule>
    <cfRule type="expression" dxfId="356" priority="229">
      <formula>$D21="7 - 8"</formula>
    </cfRule>
    <cfRule type="expression" dxfId="355" priority="224">
      <formula>$D28="1 - 2"</formula>
    </cfRule>
    <cfRule type="expression" dxfId="354" priority="223">
      <formula>$D28="7 - 8"</formula>
    </cfRule>
    <cfRule type="expression" dxfId="353" priority="222">
      <formula>OR($D28="3 - 4",$D28="5 - 6")</formula>
    </cfRule>
    <cfRule type="expression" dxfId="352" priority="230">
      <formula>$D21="1 - 2"</formula>
    </cfRule>
    <cfRule type="expression" dxfId="351" priority="231">
      <formula>OR($D20="3 - 4",$D20="5 - 6")</formula>
    </cfRule>
    <cfRule type="expression" dxfId="350" priority="232">
      <formula>$D20="7 - 8"</formula>
    </cfRule>
    <cfRule type="expression" dxfId="349" priority="233">
      <formula>$D20="1 - 2"</formula>
    </cfRule>
  </conditionalFormatting>
  <conditionalFormatting sqref="Y26:Y27 R27 G33:I33">
    <cfRule type="expression" dxfId="348" priority="1882">
      <formula>$D34="1 - 2"</formula>
    </cfRule>
    <cfRule type="expression" dxfId="347" priority="1881">
      <formula>$D34="7 - 8"</formula>
    </cfRule>
  </conditionalFormatting>
  <conditionalFormatting sqref="Y26:Y27">
    <cfRule type="expression" dxfId="346" priority="97">
      <formula>$D30="7 - 8"</formula>
    </cfRule>
    <cfRule type="expression" dxfId="345" priority="85">
      <formula>OR($D34="3 - 4",$D34="5 - 6")</formula>
    </cfRule>
    <cfRule type="expression" dxfId="344" priority="96">
      <formula>OR($D30="3 - 4",$D30="5 - 6")</formula>
    </cfRule>
    <cfRule type="expression" dxfId="343" priority="94">
      <formula>$D34="1 - 2"</formula>
    </cfRule>
    <cfRule type="expression" dxfId="342" priority="93">
      <formula>$D34="7 - 8"</formula>
    </cfRule>
    <cfRule type="expression" dxfId="341" priority="92">
      <formula>OR($D34="3 - 4",$D34="5 - 6")</formula>
    </cfRule>
    <cfRule type="expression" dxfId="340" priority="98">
      <formula>$D30="1 - 2"</formula>
    </cfRule>
    <cfRule type="expression" dxfId="339" priority="90">
      <formula>$D30="1 - 2"</formula>
    </cfRule>
    <cfRule type="expression" dxfId="338" priority="89">
      <formula>$D30="7 - 8"</formula>
    </cfRule>
    <cfRule type="expression" dxfId="337" priority="88">
      <formula>OR($D30="3 - 4",$D30="5 - 6")</formula>
    </cfRule>
    <cfRule type="expression" dxfId="336" priority="87">
      <formula>$D34="1 - 2"</formula>
    </cfRule>
    <cfRule type="expression" dxfId="335" priority="86">
      <formula>$D34="7 - 8"</formula>
    </cfRule>
  </conditionalFormatting>
  <conditionalFormatting sqref="Y20:Z20">
    <cfRule type="expression" dxfId="334" priority="235">
      <formula>$D24="7 - 8"</formula>
    </cfRule>
    <cfRule type="expression" dxfId="333" priority="240">
      <formula>$D20="1 - 2"</formula>
    </cfRule>
    <cfRule type="expression" dxfId="332" priority="239">
      <formula>$D20="7 - 8"</formula>
    </cfRule>
    <cfRule type="expression" dxfId="331" priority="238">
      <formula>OR($D20="3 - 4",$D20="5 - 6")</formula>
    </cfRule>
    <cfRule type="expression" dxfId="330" priority="236">
      <formula>$D24="1 - 2"</formula>
    </cfRule>
    <cfRule type="expression" dxfId="329" priority="234">
      <formula>OR($D24="3 - 4",$D24="5 - 6")</formula>
    </cfRule>
  </conditionalFormatting>
  <conditionalFormatting sqref="Y7:AB7">
    <cfRule type="expression" dxfId="328" priority="1897">
      <formula>OR(Y$5="By",Y$5="CN",Y$5="")</formula>
    </cfRule>
  </conditionalFormatting>
  <conditionalFormatting sqref="Y6:AI6">
    <cfRule type="expression" dxfId="327" priority="730">
      <formula>OR(Y$5="By",Y$5="CN",Y$5="")</formula>
    </cfRule>
  </conditionalFormatting>
  <conditionalFormatting sqref="Y18:AI21">
    <cfRule type="expression" dxfId="326" priority="142">
      <formula>OR(Y$5="By",Y$5="CN",Y$5="")</formula>
    </cfRule>
  </conditionalFormatting>
  <conditionalFormatting sqref="Z18:Z19">
    <cfRule type="expression" dxfId="325" priority="216">
      <formula>$D18="7 - 8"</formula>
    </cfRule>
    <cfRule type="expression" dxfId="324" priority="204">
      <formula>OR($D22="3 - 4",$D22="5 - 6")</formula>
    </cfRule>
    <cfRule type="expression" dxfId="323" priority="205">
      <formula>$D22="7 - 8"</formula>
    </cfRule>
    <cfRule type="expression" dxfId="322" priority="206">
      <formula>$D22="1 - 2"</formula>
    </cfRule>
    <cfRule type="expression" dxfId="321" priority="220">
      <formula>$D22="1 - 2"</formula>
    </cfRule>
    <cfRule type="expression" dxfId="320" priority="219">
      <formula>$D22="7 - 8"</formula>
    </cfRule>
    <cfRule type="expression" dxfId="319" priority="218">
      <formula>OR($D22="3 - 4",$D22="5 - 6")</formula>
    </cfRule>
    <cfRule type="expression" dxfId="318" priority="207">
      <formula>OR($D18="3 - 4",$D18="5 - 6")</formula>
    </cfRule>
    <cfRule type="expression" dxfId="317" priority="208">
      <formula>$D18="7 - 8"</formula>
    </cfRule>
    <cfRule type="expression" dxfId="316" priority="209">
      <formula>$D18="1 - 2"</formula>
    </cfRule>
    <cfRule type="expression" dxfId="315" priority="217">
      <formula>$D18="1 - 2"</formula>
    </cfRule>
    <cfRule type="expression" dxfId="314" priority="212">
      <formula>$D22="7 - 8"</formula>
    </cfRule>
    <cfRule type="expression" dxfId="313" priority="213">
      <formula>$D22="1 - 2"</formula>
    </cfRule>
    <cfRule type="expression" dxfId="312" priority="215">
      <formula>OR($D18="3 - 4",$D18="5 - 6")</formula>
    </cfRule>
    <cfRule type="expression" dxfId="311" priority="211">
      <formula>OR($D22="3 - 4",$D22="5 - 6")</formula>
    </cfRule>
  </conditionalFormatting>
  <conditionalFormatting sqref="Z26 Y27:Z27 X28:Z28">
    <cfRule type="expression" dxfId="310" priority="53">
      <formula>$D26="7 - 8"</formula>
    </cfRule>
    <cfRule type="expression" dxfId="309" priority="54">
      <formula>$D26="1 - 2"</formula>
    </cfRule>
    <cfRule type="expression" dxfId="308" priority="52">
      <formula>OR($D26="3 - 4",$D26="5 - 6")</formula>
    </cfRule>
  </conditionalFormatting>
  <conditionalFormatting sqref="Z6:AA6 Y7:AA7 X8:AA8">
    <cfRule type="expression" dxfId="307" priority="2810">
      <formula>OR($D6="3 - 4",$D6="5 - 6")</formula>
    </cfRule>
    <cfRule type="expression" dxfId="306" priority="2811">
      <formula>$D6="7 - 8"</formula>
    </cfRule>
    <cfRule type="expression" dxfId="305" priority="2812">
      <formula>$D6="1 - 2"</formula>
    </cfRule>
  </conditionalFormatting>
  <conditionalFormatting sqref="Z10:AA10">
    <cfRule type="expression" dxfId="304" priority="2193">
      <formula>$D10="7 - 8"</formula>
    </cfRule>
    <cfRule type="expression" dxfId="303" priority="2194">
      <formula>$D10="1 - 2"</formula>
    </cfRule>
    <cfRule type="expression" dxfId="302" priority="2192">
      <formula>OR($D10="3 - 4",$D10="5 - 6")</formula>
    </cfRule>
  </conditionalFormatting>
  <conditionalFormatting sqref="Z11:AA12">
    <cfRule type="expression" dxfId="301" priority="558">
      <formula>OR(Z$5="By",Z$5="CN",Z$5="")</formula>
    </cfRule>
    <cfRule type="expression" dxfId="300" priority="561">
      <formula>$D11="1 - 2"</formula>
    </cfRule>
    <cfRule type="expression" dxfId="299" priority="560">
      <formula>$D11="7 - 8"</formula>
    </cfRule>
    <cfRule type="expression" dxfId="298" priority="559">
      <formula>OR($D11="3 - 4",$D11="5 - 6")</formula>
    </cfRule>
  </conditionalFormatting>
  <conditionalFormatting sqref="Z10:AC10 J13:AA13 L15:AI15 E15:E16 L16:W16 Y16:AI16 L17:S17 U17:AC17 AE17:AI17">
    <cfRule type="expression" dxfId="297" priority="2355">
      <formula>OR(E$5="By",E$5="CN",E$5="")</formula>
    </cfRule>
  </conditionalFormatting>
  <conditionalFormatting sqref="Z38:AC39">
    <cfRule type="expression" dxfId="296" priority="3483">
      <formula>OR(Z$5="By",Z$5="CN",Z$5="")</formula>
    </cfRule>
  </conditionalFormatting>
  <conditionalFormatting sqref="AA6:AA8">
    <cfRule type="expression" dxfId="295" priority="2202">
      <formula>OR($D10="3 - 4",$D10="5 - 6")</formula>
    </cfRule>
    <cfRule type="expression" dxfId="294" priority="2203">
      <formula>$D10="7 - 8"</formula>
    </cfRule>
    <cfRule type="expression" dxfId="293" priority="2204">
      <formula>$D10="1 - 2"</formula>
    </cfRule>
  </conditionalFormatting>
  <conditionalFormatting sqref="AA10:AA12">
    <cfRule type="expression" dxfId="292" priority="562">
      <formula>OR($D14="3 - 4",$D14="5 - 6")</formula>
    </cfRule>
    <cfRule type="expression" dxfId="291" priority="563">
      <formula>$D14="7 - 8"</formula>
    </cfRule>
    <cfRule type="expression" dxfId="290" priority="564">
      <formula>$D14="1 - 2"</formula>
    </cfRule>
  </conditionalFormatting>
  <conditionalFormatting sqref="AA11:AA12">
    <cfRule type="expression" dxfId="289" priority="557">
      <formula>$D11="1 - 2"</formula>
    </cfRule>
    <cfRule type="expression" dxfId="288" priority="556">
      <formula>$D11="7 - 8"</formula>
    </cfRule>
    <cfRule type="expression" dxfId="287" priority="555">
      <formula>OR($D11="3 - 4",$D11="5 - 6")</formula>
    </cfRule>
    <cfRule type="expression" dxfId="286" priority="554">
      <formula>$D15="1 - 2"</formula>
    </cfRule>
    <cfRule type="expression" dxfId="285" priority="553">
      <formula>$D15="7 - 8"</formula>
    </cfRule>
    <cfRule type="expression" dxfId="284" priority="552">
      <formula>OR($D15="3 - 4",$D15="5 - 6")</formula>
    </cfRule>
  </conditionalFormatting>
  <conditionalFormatting sqref="AA18:AA20">
    <cfRule type="expression" dxfId="283" priority="194">
      <formula>OR($D22="3 - 4",$D22="5 - 6")</formula>
    </cfRule>
    <cfRule type="expression" dxfId="282" priority="191">
      <formula>$D18="7 - 8"</formula>
    </cfRule>
    <cfRule type="expression" dxfId="281" priority="187">
      <formula>OR($D22="3 - 4",$D22="5 - 6")</formula>
    </cfRule>
    <cfRule type="expression" dxfId="280" priority="190">
      <formula>OR($D18="3 - 4",$D18="5 - 6")</formula>
    </cfRule>
    <cfRule type="expression" dxfId="279" priority="196">
      <formula>$D22="1 - 2"</formula>
    </cfRule>
    <cfRule type="expression" dxfId="278" priority="198">
      <formula>OR($D18="3 - 4",$D18="5 - 6")</formula>
    </cfRule>
    <cfRule type="expression" dxfId="277" priority="192">
      <formula>$D18="1 - 2"</formula>
    </cfRule>
    <cfRule type="expression" dxfId="276" priority="199">
      <formula>$D18="7 - 8"</formula>
    </cfRule>
    <cfRule type="expression" dxfId="275" priority="200">
      <formula>$D18="1 - 2"</formula>
    </cfRule>
    <cfRule type="expression" dxfId="274" priority="201">
      <formula>OR($D22="3 - 4",$D22="5 - 6")</formula>
    </cfRule>
    <cfRule type="expression" dxfId="273" priority="202">
      <formula>$D22="7 - 8"</formula>
    </cfRule>
    <cfRule type="expression" dxfId="272" priority="203">
      <formula>$D22="1 - 2"</formula>
    </cfRule>
    <cfRule type="expression" dxfId="271" priority="189">
      <formula>$D22="1 - 2"</formula>
    </cfRule>
    <cfRule type="expression" dxfId="270" priority="188">
      <formula>$D22="7 - 8"</formula>
    </cfRule>
    <cfRule type="expression" dxfId="269" priority="195">
      <formula>$D22="7 - 8"</formula>
    </cfRule>
  </conditionalFormatting>
  <conditionalFormatting sqref="AA26:AA33">
    <cfRule type="expression" dxfId="268" priority="1186">
      <formula>OR($D26="3 - 4",$D26="5 - 6")</formula>
    </cfRule>
    <cfRule type="expression" dxfId="267" priority="1188">
      <formula>$D26="1 - 2"</formula>
    </cfRule>
    <cfRule type="expression" dxfId="266" priority="1187">
      <formula>$D26="7 - 8"</formula>
    </cfRule>
  </conditionalFormatting>
  <conditionalFormatting sqref="AB8">
    <cfRule type="expression" dxfId="265" priority="724">
      <formula>OR($D8="3 - 4",$D8="5 - 6")</formula>
    </cfRule>
    <cfRule type="expression" dxfId="264" priority="720">
      <formula>OR($D12="3 - 4",$D12="5 - 6")</formula>
    </cfRule>
    <cfRule type="expression" dxfId="263" priority="726">
      <formula>$D8="1 - 2"</formula>
    </cfRule>
    <cfRule type="expression" dxfId="262" priority="725">
      <formula>$D8="7 - 8"</formula>
    </cfRule>
    <cfRule type="expression" dxfId="261" priority="722">
      <formula>$D12="1 - 2"</formula>
    </cfRule>
    <cfRule type="expression" dxfId="260" priority="721">
      <formula>$D12="7 - 8"</formula>
    </cfRule>
  </conditionalFormatting>
  <conditionalFormatting sqref="AB11:AB13">
    <cfRule type="expression" dxfId="259" priority="544">
      <formula>$D11="1 - 2"</formula>
    </cfRule>
    <cfRule type="expression" dxfId="258" priority="539">
      <formula>OR($D15="3 - 4",$D15="5 - 6")</formula>
    </cfRule>
    <cfRule type="expression" dxfId="257" priority="540">
      <formula>$D15="7 - 8"</formula>
    </cfRule>
    <cfRule type="expression" dxfId="256" priority="541">
      <formula>$D15="1 - 2"</formula>
    </cfRule>
    <cfRule type="expression" dxfId="255" priority="551">
      <formula>$D15="1 - 2"</formula>
    </cfRule>
    <cfRule type="expression" dxfId="254" priority="546">
      <formula>OR($D11="3 - 4",$D11="5 - 6")</formula>
    </cfRule>
    <cfRule type="expression" dxfId="253" priority="547">
      <formula>$D11="7 - 8"</formula>
    </cfRule>
    <cfRule type="expression" dxfId="252" priority="550">
      <formula>$D15="7 - 8"</formula>
    </cfRule>
    <cfRule type="expression" dxfId="251" priority="542">
      <formula>OR($D11="3 - 4",$D11="5 - 6")</formula>
    </cfRule>
    <cfRule type="expression" dxfId="250" priority="543">
      <formula>$D11="7 - 8"</formula>
    </cfRule>
    <cfRule type="expression" dxfId="249" priority="549">
      <formula>OR($D15="3 - 4",$D15="5 - 6")</formula>
    </cfRule>
    <cfRule type="expression" dxfId="248" priority="548">
      <formula>$D11="1 - 2"</formula>
    </cfRule>
  </conditionalFormatting>
  <conditionalFormatting sqref="AB18">
    <cfRule type="expression" dxfId="247" priority="173">
      <formula>OR($D18="3 - 4",$D18="5 - 6")</formula>
    </cfRule>
    <cfRule type="expression" dxfId="246" priority="186">
      <formula>$D22="1 - 2"</formula>
    </cfRule>
    <cfRule type="expression" dxfId="245" priority="185">
      <formula>$D22="7 - 8"</formula>
    </cfRule>
    <cfRule type="expression" dxfId="244" priority="184">
      <formula>OR($D22="3 - 4",$D22="5 - 6")</formula>
    </cfRule>
    <cfRule type="expression" dxfId="243" priority="183">
      <formula>$D18="1 - 2"</formula>
    </cfRule>
    <cfRule type="expression" dxfId="242" priority="182">
      <formula>$D18="7 - 8"</formula>
    </cfRule>
    <cfRule type="expression" dxfId="241" priority="181">
      <formula>OR($D18="3 - 4",$D18="5 - 6")</formula>
    </cfRule>
    <cfRule type="expression" dxfId="240" priority="179">
      <formula>$D22="1 - 2"</formula>
    </cfRule>
    <cfRule type="expression" dxfId="239" priority="178">
      <formula>$D22="7 - 8"</formula>
    </cfRule>
    <cfRule type="expression" dxfId="238" priority="177">
      <formula>OR($D22="3 - 4",$D22="5 - 6")</formula>
    </cfRule>
    <cfRule type="expression" dxfId="237" priority="175">
      <formula>$D18="1 - 2"</formula>
    </cfRule>
    <cfRule type="expression" dxfId="236" priority="174">
      <formula>$D18="7 - 8"</formula>
    </cfRule>
  </conditionalFormatting>
  <conditionalFormatting sqref="AB18:AB19">
    <cfRule type="expression" dxfId="235" priority="167">
      <formula>OR($D22="3 - 4",$D22="5 - 6")</formula>
    </cfRule>
    <cfRule type="expression" dxfId="234" priority="169">
      <formula>$D22="1 - 2"</formula>
    </cfRule>
    <cfRule type="expression" dxfId="233" priority="168">
      <formula>$D22="7 - 8"</formula>
    </cfRule>
  </conditionalFormatting>
  <conditionalFormatting sqref="AB19">
    <cfRule type="expression" dxfId="232" priority="160">
      <formula>OR($D23="3 - 4",$D23="5 - 6")</formula>
    </cfRule>
    <cfRule type="expression" dxfId="231" priority="166">
      <formula>$D19="1 - 2"</formula>
    </cfRule>
    <cfRule type="expression" dxfId="230" priority="165">
      <formula>$D19="7 - 8"</formula>
    </cfRule>
    <cfRule type="expression" dxfId="229" priority="164">
      <formula>OR($D19="3 - 4",$D19="5 - 6")</formula>
    </cfRule>
    <cfRule type="expression" dxfId="228" priority="162">
      <formula>$D23="1 - 2"</formula>
    </cfRule>
    <cfRule type="expression" dxfId="227" priority="161">
      <formula>$D23="7 - 8"</formula>
    </cfRule>
    <cfRule type="expression" dxfId="226" priority="158">
      <formula>$D19="1 - 2"</formula>
    </cfRule>
    <cfRule type="expression" dxfId="225" priority="157">
      <formula>$D19="7 - 8"</formula>
    </cfRule>
    <cfRule type="expression" dxfId="224" priority="156">
      <formula>OR($D19="3 - 4",$D19="5 - 6")</formula>
    </cfRule>
  </conditionalFormatting>
  <conditionalFormatting sqref="AB19:AB20">
    <cfRule type="expression" dxfId="223" priority="152">
      <formula>$D23="1 - 2"</formula>
    </cfRule>
    <cfRule type="expression" dxfId="222" priority="151">
      <formula>$D23="7 - 8"</formula>
    </cfRule>
    <cfRule type="expression" dxfId="221" priority="150">
      <formula>OR($D23="3 - 4",$D23="5 - 6")</formula>
    </cfRule>
  </conditionalFormatting>
  <conditionalFormatting sqref="AB20">
    <cfRule type="expression" dxfId="220" priority="145">
      <formula>$D24="1 - 2"</formula>
    </cfRule>
    <cfRule type="expression" dxfId="219" priority="147">
      <formula>OR($D20="3 - 4",$D20="5 - 6")</formula>
    </cfRule>
    <cfRule type="expression" dxfId="218" priority="148">
      <formula>$D20="7 - 8"</formula>
    </cfRule>
    <cfRule type="expression" dxfId="217" priority="144">
      <formula>$D24="7 - 8"</formula>
    </cfRule>
    <cfRule type="expression" dxfId="216" priority="143">
      <formula>OR($D24="3 - 4",$D24="5 - 6")</formula>
    </cfRule>
    <cfRule type="expression" dxfId="215" priority="141">
      <formula>$D20="1 - 2"</formula>
    </cfRule>
    <cfRule type="expression" dxfId="214" priority="140">
      <formula>$D20="7 - 8"</formula>
    </cfRule>
    <cfRule type="expression" dxfId="213" priority="139">
      <formula>OR($D20="3 - 4",$D20="5 - 6")</formula>
    </cfRule>
    <cfRule type="expression" dxfId="212" priority="138">
      <formula>$D24="1 - 2"</formula>
    </cfRule>
    <cfRule type="expression" dxfId="211" priority="137">
      <formula>$D24="7 - 8"</formula>
    </cfRule>
    <cfRule type="expression" dxfId="210" priority="136">
      <formula>OR($D24="3 - 4",$D24="5 - 6")</formula>
    </cfRule>
    <cfRule type="expression" dxfId="209" priority="149">
      <formula>$D20="1 - 2"</formula>
    </cfRule>
  </conditionalFormatting>
  <conditionalFormatting sqref="AB6:AC6 AB7 AB9:AC10 AC13 AB14:AC17 AC18:AC20 AB21:AC21">
    <cfRule type="expression" dxfId="208" priority="2285">
      <formula>$D14="1 - 2"</formula>
    </cfRule>
    <cfRule type="expression" dxfId="207" priority="2284">
      <formula>$D14="7 - 8"</formula>
    </cfRule>
  </conditionalFormatting>
  <conditionalFormatting sqref="AB11:AC13">
    <cfRule type="expression" dxfId="206" priority="545">
      <formula>OR(AB$5="By",AB$5="CN",AB$5="")</formula>
    </cfRule>
  </conditionalFormatting>
  <conditionalFormatting sqref="AB14:AC16">
    <cfRule type="expression" dxfId="205" priority="2280">
      <formula>$D10="7 - 8"</formula>
    </cfRule>
    <cfRule type="expression" dxfId="204" priority="2276">
      <formula>OR($D6="3 - 4",$D6="5 - 6")</formula>
    </cfRule>
    <cfRule type="expression" dxfId="203" priority="2278">
      <formula>$D6="1 - 2"</formula>
    </cfRule>
    <cfRule type="expression" dxfId="202" priority="2277">
      <formula>$D6="7 - 8"</formula>
    </cfRule>
    <cfRule type="expression" dxfId="201" priority="2279">
      <formula>OR($D10="3 - 4",$D10="5 - 6")</formula>
    </cfRule>
    <cfRule type="expression" dxfId="200" priority="2281">
      <formula>$D10="1 - 2"</formula>
    </cfRule>
  </conditionalFormatting>
  <conditionalFormatting sqref="AB14:AC17 AB6:AC6 AB7 AB9:AC10 AC13 AC18:AC20 AB21:AC21">
    <cfRule type="expression" dxfId="199" priority="2283">
      <formula>OR($D14="3 - 4",$D14="5 - 6")</formula>
    </cfRule>
  </conditionalFormatting>
  <conditionalFormatting sqref="AB26:AC33">
    <cfRule type="expression" dxfId="198" priority="1846">
      <formula>$D34="7 - 8"</formula>
    </cfRule>
    <cfRule type="expression" dxfId="197" priority="1847">
      <formula>$D34="1 - 2"</formula>
    </cfRule>
    <cfRule type="expression" dxfId="196" priority="1845">
      <formula>OR($D34="3 - 4",$D34="5 - 6")</formula>
    </cfRule>
  </conditionalFormatting>
  <conditionalFormatting sqref="AC11:AC12">
    <cfRule type="expression" dxfId="195" priority="798">
      <formula>OR($D15="3 - 4",$D15="5 - 6")</formula>
    </cfRule>
    <cfRule type="expression" dxfId="194" priority="803">
      <formula>$D11="1 - 2"</formula>
    </cfRule>
    <cfRule type="expression" dxfId="193" priority="799">
      <formula>$D15="7 - 8"</formula>
    </cfRule>
    <cfRule type="expression" dxfId="192" priority="802">
      <formula>$D11="7 - 8"</formula>
    </cfRule>
    <cfRule type="expression" dxfId="191" priority="801">
      <formula>OR($D11="3 - 4",$D11="5 - 6")</formula>
    </cfRule>
    <cfRule type="expression" dxfId="190" priority="800">
      <formula>$D15="1 - 2"</formula>
    </cfRule>
  </conditionalFormatting>
  <conditionalFormatting sqref="AC7:AD8 G8:I9">
    <cfRule type="expression" dxfId="189" priority="1670">
      <formula>OR(G$5="By",G$5="CN",G$5="")</formula>
    </cfRule>
  </conditionalFormatting>
  <conditionalFormatting sqref="AD9:AD10">
    <cfRule type="expression" dxfId="188" priority="793">
      <formula>$D13="1 - 2"</formula>
    </cfRule>
    <cfRule type="expression" dxfId="187" priority="792">
      <formula>$D13="7 - 8"</formula>
    </cfRule>
    <cfRule type="expression" dxfId="186" priority="791">
      <formula>OR($D13="3 - 4",$D13="5 - 6")</formula>
    </cfRule>
  </conditionalFormatting>
  <conditionalFormatting sqref="AD9:AD13">
    <cfRule type="expression" dxfId="185" priority="790">
      <formula>OR(AD$5="By",AD$5="CN",AD$5="")</formula>
    </cfRule>
  </conditionalFormatting>
  <conditionalFormatting sqref="AD11:AD12">
    <cfRule type="expression" dxfId="184" priority="1745">
      <formula>$D11="1 - 2"</formula>
    </cfRule>
    <cfRule type="expression" dxfId="183" priority="1743">
      <formula>OR($D11="3 - 4",$D11="5 - 6")</formula>
    </cfRule>
    <cfRule type="expression" dxfId="182" priority="1744">
      <formula>$D11="7 - 8"</formula>
    </cfRule>
  </conditionalFormatting>
  <conditionalFormatting sqref="AD12:AD13">
    <cfRule type="expression" dxfId="181" priority="1729">
      <formula>OR($D16="3 - 4",$D16="5 - 6")</formula>
    </cfRule>
    <cfRule type="expression" dxfId="180" priority="1731">
      <formula>$D16="1 - 2"</formula>
    </cfRule>
    <cfRule type="expression" dxfId="179" priority="1730">
      <formula>$D16="7 - 8"</formula>
    </cfRule>
  </conditionalFormatting>
  <conditionalFormatting sqref="AD13 AE10 F7">
    <cfRule type="expression" dxfId="178" priority="1915">
      <formula>OR($D12="3 - 4",$D12="5 - 6")</formula>
    </cfRule>
  </conditionalFormatting>
  <conditionalFormatting sqref="AD13:AD16">
    <cfRule type="expression" dxfId="177" priority="1728">
      <formula>$D13="1 - 2"</formula>
    </cfRule>
    <cfRule type="expression" dxfId="176" priority="1727">
      <formula>$D13="7 - 8"</formula>
    </cfRule>
    <cfRule type="expression" dxfId="175" priority="1726">
      <formula>OR($D13="3 - 4",$D13="5 - 6")</formula>
    </cfRule>
  </conditionalFormatting>
  <conditionalFormatting sqref="AD16 T17 E30:E32">
    <cfRule type="expression" dxfId="174" priority="2409">
      <formula>$D20="7 - 8"</formula>
    </cfRule>
    <cfRule type="expression" dxfId="173" priority="2410">
      <formula>$D20="1 - 2"</formula>
    </cfRule>
  </conditionalFormatting>
  <conditionalFormatting sqref="AD26:AD30 AD31:AE32">
    <cfRule type="expression" dxfId="172" priority="1856">
      <formula>$D26="7 - 8"</formula>
    </cfRule>
    <cfRule type="expression" dxfId="171" priority="1857">
      <formula>$D26="1 - 2"</formula>
    </cfRule>
    <cfRule type="expression" dxfId="170" priority="1855">
      <formula>OR($D26="3 - 4",$D26="5 - 6")</formula>
    </cfRule>
  </conditionalFormatting>
  <conditionalFormatting sqref="AD33">
    <cfRule type="expression" dxfId="169" priority="1833">
      <formula>OR($D37="3 - 4",$D37="5 - 6")</formula>
    </cfRule>
    <cfRule type="expression" dxfId="168" priority="1834">
      <formula>$D37="7 - 8"</formula>
    </cfRule>
    <cfRule type="expression" dxfId="167" priority="1835">
      <formula>$D37="1 - 2"</formula>
    </cfRule>
  </conditionalFormatting>
  <conditionalFormatting sqref="AD38:AD40">
    <cfRule type="expression" dxfId="166" priority="3563">
      <formula>OR(AD$5="By",AD$5="CN",AD$5="")</formula>
    </cfRule>
  </conditionalFormatting>
  <conditionalFormatting sqref="AD39">
    <cfRule type="expression" dxfId="165" priority="3562">
      <formula>$D39="1 - 2"</formula>
    </cfRule>
    <cfRule type="expression" dxfId="164" priority="3560">
      <formula>OR($D39="3 - 4",$D39="5 - 6")</formula>
    </cfRule>
    <cfRule type="expression" dxfId="163" priority="3561">
      <formula>$D39="7 - 8"</formula>
    </cfRule>
  </conditionalFormatting>
  <conditionalFormatting sqref="AD9:AF9">
    <cfRule type="expression" dxfId="162" priority="1907">
      <formula>$D9="1 - 2"</formula>
    </cfRule>
    <cfRule type="expression" dxfId="161" priority="1906">
      <formula>$D9="7 - 8"</formula>
    </cfRule>
    <cfRule type="expression" dxfId="160" priority="1905">
      <formula>OR($D9="3 - 4",$D9="5 - 6")</formula>
    </cfRule>
  </conditionalFormatting>
  <conditionalFormatting sqref="AD19:AG20 AD18:AK18 AD21:AK21">
    <cfRule type="expression" dxfId="159" priority="2038">
      <formula>OR($D18="3 - 4",$D18="5 - 6")</formula>
    </cfRule>
  </conditionalFormatting>
  <conditionalFormatting sqref="AD6:AH6">
    <cfRule type="expression" dxfId="158" priority="1898">
      <formula>OR($D6="3 - 4",$D6="5 - 6")</formula>
    </cfRule>
    <cfRule type="expression" dxfId="157" priority="1900">
      <formula>$D6="1 - 2"</formula>
    </cfRule>
    <cfRule type="expression" dxfId="156" priority="1899">
      <formula>$D6="7 - 8"</formula>
    </cfRule>
  </conditionalFormatting>
  <conditionalFormatting sqref="AD38:AH38">
    <cfRule type="expression" dxfId="155" priority="3430">
      <formula>$D38="1 - 2"</formula>
    </cfRule>
    <cfRule type="expression" dxfId="154" priority="3429">
      <formula>$D38="7 - 8"</formula>
    </cfRule>
    <cfRule type="expression" dxfId="153" priority="3428">
      <formula>OR($D38="3 - 4",$D38="5 - 6")</formula>
    </cfRule>
  </conditionalFormatting>
  <conditionalFormatting sqref="AD10:AK10">
    <cfRule type="expression" dxfId="152" priority="795">
      <formula>$D10="7 - 8"</formula>
    </cfRule>
    <cfRule type="expression" dxfId="151" priority="794">
      <formula>OR($D10="3 - 4",$D10="5 - 6")</formula>
    </cfRule>
    <cfRule type="expression" dxfId="150" priority="796">
      <formula>$D10="1 - 2"</formula>
    </cfRule>
  </conditionalFormatting>
  <conditionalFormatting sqref="AD18:AK18 AD19:AG20">
    <cfRule type="expression" dxfId="149" priority="2040">
      <formula>$D18="1 - 2"</formula>
    </cfRule>
    <cfRule type="expression" dxfId="148" priority="2039">
      <formula>$D18="7 - 8"</formula>
    </cfRule>
  </conditionalFormatting>
  <conditionalFormatting sqref="AD21:AK21">
    <cfRule type="expression" dxfId="147" priority="3194">
      <formula>$D21="1 - 2"</formula>
    </cfRule>
    <cfRule type="expression" dxfId="146" priority="3193">
      <formula>$D21="7 - 8"</formula>
    </cfRule>
  </conditionalFormatting>
  <conditionalFormatting sqref="AD33:AK33">
    <cfRule type="expression" dxfId="145" priority="1837">
      <formula>OR($D33="3 - 4",$D33="5 - 6")</formula>
    </cfRule>
    <cfRule type="expression" dxfId="144" priority="1838">
      <formula>$D33="7 - 8"</formula>
    </cfRule>
    <cfRule type="expression" dxfId="143" priority="1839">
      <formula>$D33="1 - 2"</formula>
    </cfRule>
  </conditionalFormatting>
  <conditionalFormatting sqref="AE6">
    <cfRule type="expression" dxfId="142" priority="1896">
      <formula>$D10="1 - 2"</formula>
    </cfRule>
    <cfRule type="expression" dxfId="141" priority="1895">
      <formula>$D10="7 - 8"</formula>
    </cfRule>
    <cfRule type="expression" dxfId="140" priority="1894">
      <formula>OR($D10="3 - 4",$D10="5 - 6")</formula>
    </cfRule>
  </conditionalFormatting>
  <conditionalFormatting sqref="AE11:AE13">
    <cfRule type="expression" dxfId="139" priority="789">
      <formula>$D11="1 - 2"</formula>
    </cfRule>
    <cfRule type="expression" dxfId="138" priority="787">
      <formula>OR($D11="3 - 4",$D11="5 - 6")</formula>
    </cfRule>
    <cfRule type="expression" dxfId="137" priority="788">
      <formula>$D11="7 - 8"</formula>
    </cfRule>
  </conditionalFormatting>
  <conditionalFormatting sqref="AE14">
    <cfRule type="expression" dxfId="136" priority="1763">
      <formula>OR($D19="3 - 4",$D19="5 - 6")</formula>
    </cfRule>
    <cfRule type="expression" dxfId="135" priority="1772">
      <formula>$D14="7 - 8"</formula>
    </cfRule>
    <cfRule type="expression" dxfId="134" priority="1767">
      <formula>OR($D15="3 - 4",$D15="5 - 6")</formula>
    </cfRule>
    <cfRule type="expression" dxfId="133" priority="1768">
      <formula>$D15="7 - 8"</formula>
    </cfRule>
    <cfRule type="expression" dxfId="132" priority="1769">
      <formula>$D15="1 - 2"</formula>
    </cfRule>
    <cfRule type="expression" dxfId="131" priority="1771">
      <formula>OR($D14="3 - 4",$D14="5 - 6")</formula>
    </cfRule>
    <cfRule type="expression" dxfId="130" priority="1764">
      <formula>$D19="7 - 8"</formula>
    </cfRule>
    <cfRule type="expression" dxfId="129" priority="1773">
      <formula>$D14="1 - 2"</formula>
    </cfRule>
    <cfRule type="expression" dxfId="128" priority="1765">
      <formula>$D19="1 - 2"</formula>
    </cfRule>
  </conditionalFormatting>
  <conditionalFormatting sqref="AE15:AE16">
    <cfRule type="expression" dxfId="127" priority="2089">
      <formula>$D15="1 - 2"</formula>
    </cfRule>
    <cfRule type="expression" dxfId="126" priority="2088">
      <formula>$D15="7 - 8"</formula>
    </cfRule>
    <cfRule type="expression" dxfId="125" priority="2087">
      <formula>OR($D15="3 - 4",$D15="5 - 6")</formula>
    </cfRule>
  </conditionalFormatting>
  <conditionalFormatting sqref="AE20">
    <cfRule type="expression" dxfId="124" priority="2034">
      <formula>OR($D24="3 - 4",$D24="5 - 6")</formula>
    </cfRule>
    <cfRule type="expression" dxfId="123" priority="2035">
      <formula>$D24="7 - 8"</formula>
    </cfRule>
    <cfRule type="expression" dxfId="122" priority="2036">
      <formula>$D24="1 - 2"</formula>
    </cfRule>
  </conditionalFormatting>
  <conditionalFormatting sqref="AE25">
    <cfRule type="expression" dxfId="121" priority="3153">
      <formula>$D29="7 - 8"</formula>
    </cfRule>
    <cfRule type="expression" dxfId="120" priority="3154">
      <formula>$D29="1 - 2"</formula>
    </cfRule>
    <cfRule type="expression" dxfId="119" priority="3152">
      <formula>OR($D29="3 - 4",$D29="5 - 6")</formula>
    </cfRule>
  </conditionalFormatting>
  <conditionalFormatting sqref="AE27:AE30">
    <cfRule type="expression" dxfId="118" priority="1832">
      <formula>$D27="1 - 2"</formula>
    </cfRule>
    <cfRule type="expression" dxfId="117" priority="1831">
      <formula>$D27="7 - 8"</formula>
    </cfRule>
    <cfRule type="expression" dxfId="116" priority="1830">
      <formula>OR($D27="3 - 4",$D27="5 - 6")</formula>
    </cfRule>
  </conditionalFormatting>
  <conditionalFormatting sqref="AE30">
    <cfRule type="expression" dxfId="115" priority="1828">
      <formula>$D34="1 - 2"</formula>
    </cfRule>
    <cfRule type="expression" dxfId="114" priority="1826">
      <formula>OR($D34="3 - 4",$D34="5 - 6")</formula>
    </cfRule>
    <cfRule type="expression" dxfId="113" priority="1827">
      <formula>$D34="7 - 8"</formula>
    </cfRule>
  </conditionalFormatting>
  <conditionalFormatting sqref="AE33:AE40">
    <cfRule type="expression" dxfId="112" priority="1841">
      <formula>OR(AE$5="By",AE$5="CN",AE$5="")</formula>
    </cfRule>
  </conditionalFormatting>
  <conditionalFormatting sqref="AE39:AE40">
    <cfRule type="expression" dxfId="111" priority="3593">
      <formula>$D39="7 - 8"</formula>
    </cfRule>
    <cfRule type="expression" dxfId="110" priority="3592">
      <formula>OR($D39="3 - 4",$D39="5 - 6")</formula>
    </cfRule>
    <cfRule type="expression" dxfId="109" priority="3594">
      <formula>$D39="1 - 2"</formula>
    </cfRule>
  </conditionalFormatting>
  <conditionalFormatting sqref="AE10:AH12">
    <cfRule type="expression" dxfId="108" priority="779">
      <formula>$D14="1 - 2"</formula>
    </cfRule>
    <cfRule type="expression" dxfId="107" priority="778">
      <formula>$D14="7 - 8"</formula>
    </cfRule>
    <cfRule type="expression" dxfId="106" priority="777">
      <formula>OR($D14="3 - 4",$D14="5 - 6")</formula>
    </cfRule>
  </conditionalFormatting>
  <conditionalFormatting sqref="AE14:AH16">
    <cfRule type="expression" dxfId="105" priority="1774">
      <formula>OR($D18="3 - 4",$D18="5 - 6")</formula>
    </cfRule>
    <cfRule type="expression" dxfId="104" priority="1775">
      <formula>$D18="7 - 8"</formula>
    </cfRule>
    <cfRule type="expression" dxfId="103" priority="1776">
      <formula>$D18="1 - 2"</formula>
    </cfRule>
  </conditionalFormatting>
  <conditionalFormatting sqref="AE26:AH26">
    <cfRule type="expression" dxfId="102" priority="3790">
      <formula>$D26="1 - 2"</formula>
    </cfRule>
    <cfRule type="expression" dxfId="101" priority="3789">
      <formula>$D26="7 - 8"</formula>
    </cfRule>
    <cfRule type="expression" dxfId="100" priority="3788">
      <formula>OR($D26="3 - 4",$D26="5 - 6")</formula>
    </cfRule>
  </conditionalFormatting>
  <conditionalFormatting sqref="AE7:AI14">
    <cfRule type="expression" dxfId="99" priority="769">
      <formula>OR(AE$5="By",AE$5="CN",AE$5="")</formula>
    </cfRule>
  </conditionalFormatting>
  <conditionalFormatting sqref="AF9">
    <cfRule type="expression" dxfId="98" priority="2924">
      <formula>$D13="7 - 8"</formula>
    </cfRule>
    <cfRule type="expression" dxfId="97" priority="2923">
      <formula>OR($D13="3 - 4",$D13="5 - 6")</formula>
    </cfRule>
    <cfRule type="expression" dxfId="96" priority="2925">
      <formula>$D13="1 - 2"</formula>
    </cfRule>
  </conditionalFormatting>
  <conditionalFormatting sqref="AF13">
    <cfRule type="expression" dxfId="95" priority="3317">
      <formula>$D17="7 - 8"</formula>
    </cfRule>
    <cfRule type="expression" dxfId="94" priority="2915">
      <formula>OR($D17="3 - 4",$D17="5 - 6")</formula>
    </cfRule>
    <cfRule type="expression" dxfId="93" priority="3318">
      <formula>$D17="1 - 2"</formula>
    </cfRule>
  </conditionalFormatting>
  <conditionalFormatting sqref="AF13:AF16">
    <cfRule type="expression" dxfId="92" priority="2082">
      <formula>$D13="1 - 2"</formula>
    </cfRule>
    <cfRule type="expression" dxfId="91" priority="2081">
      <formula>$D13="7 - 8"</formula>
    </cfRule>
    <cfRule type="expression" dxfId="90" priority="2080">
      <formula>OR($D13="3 - 4",$D13="5 - 6")</formula>
    </cfRule>
  </conditionalFormatting>
  <conditionalFormatting sqref="AF17">
    <cfRule type="expression" dxfId="89" priority="2907">
      <formula>OR($D21="3 - 4",$D21="5 - 6")</formula>
    </cfRule>
  </conditionalFormatting>
  <conditionalFormatting sqref="AF21">
    <cfRule type="expression" dxfId="88" priority="2899">
      <formula>OR($D25="3 - 4",$D25="5 - 6")</formula>
    </cfRule>
    <cfRule type="expression" dxfId="87" priority="3366">
      <formula>$D25="1 - 2"</formula>
    </cfRule>
    <cfRule type="expression" dxfId="86" priority="3365">
      <formula>$D25="7 - 8"</formula>
    </cfRule>
    <cfRule type="expression" dxfId="85" priority="3364">
      <formula>OR($D25="3 - 4",$D25="5 - 6")</formula>
    </cfRule>
  </conditionalFormatting>
  <conditionalFormatting sqref="AF11:AH12">
    <cfRule type="expression" dxfId="84" priority="780">
      <formula>OR($D11="3 - 4",$D11="5 - 6")</formula>
    </cfRule>
    <cfRule type="expression" dxfId="83" priority="781">
      <formula>$D11="7 - 8"</formula>
    </cfRule>
    <cfRule type="expression" dxfId="82" priority="782">
      <formula>$D11="1 - 2"</formula>
    </cfRule>
  </conditionalFormatting>
  <conditionalFormatting sqref="AF27:AH27">
    <cfRule type="expression" dxfId="81" priority="3701">
      <formula>$D27="7 - 8"</formula>
    </cfRule>
    <cfRule type="expression" dxfId="80" priority="3702">
      <formula>$D27="1 - 2"</formula>
    </cfRule>
    <cfRule type="expression" dxfId="79" priority="3700">
      <formula>OR($D27="3 - 4",$D27="5 - 6")</formula>
    </cfRule>
  </conditionalFormatting>
  <conditionalFormatting sqref="AF30:AH32">
    <cfRule type="expression" dxfId="78" priority="1933">
      <formula>OR($D30="3 - 4",$D30="5 - 6")</formula>
    </cfRule>
    <cfRule type="expression" dxfId="77" priority="1929">
      <formula>OR($D34="3 - 4",$D34="5 - 6")</formula>
    </cfRule>
    <cfRule type="expression" dxfId="76" priority="1930">
      <formula>$D34="7 - 8"</formula>
    </cfRule>
    <cfRule type="expression" dxfId="75" priority="1931">
      <formula>$D34="1 - 2"</formula>
    </cfRule>
    <cfRule type="expression" dxfId="74" priority="1935">
      <formula>$D30="1 - 2"</formula>
    </cfRule>
    <cfRule type="expression" dxfId="73" priority="1934">
      <formula>$D30="7 - 8"</formula>
    </cfRule>
  </conditionalFormatting>
  <conditionalFormatting sqref="AF39:AH39">
    <cfRule type="expression" dxfId="72" priority="3424">
      <formula>OR($D39="3 - 4",$D39="5 - 6")</formula>
    </cfRule>
    <cfRule type="expression" dxfId="71" priority="3426">
      <formula>$D39="1 - 2"</formula>
    </cfRule>
    <cfRule type="expression" dxfId="70" priority="3425">
      <formula>$D39="7 - 8"</formula>
    </cfRule>
  </conditionalFormatting>
  <conditionalFormatting sqref="AF28:AI29">
    <cfRule type="expression" dxfId="69" priority="3708">
      <formula>OR($D28="3 - 4",$D28="5 - 6")</formula>
    </cfRule>
    <cfRule type="expression" dxfId="68" priority="3710">
      <formula>$D28="1 - 2"</formula>
    </cfRule>
    <cfRule type="expression" dxfId="67" priority="3709">
      <formula>$D28="7 - 8"</formula>
    </cfRule>
  </conditionalFormatting>
  <conditionalFormatting sqref="AF30:AI40">
    <cfRule type="expression" dxfId="66" priority="1932">
      <formula>OR(AF$5="By",AF$5="CN",AF$5="")</formula>
    </cfRule>
  </conditionalFormatting>
  <conditionalFormatting sqref="AG14:AH16">
    <cfRule type="expression" dxfId="65" priority="2066">
      <formula>OR($D14="3 - 4",$D14="5 - 6")</formula>
    </cfRule>
    <cfRule type="expression" dxfId="64" priority="2067">
      <formula>$D14="7 - 8"</formula>
    </cfRule>
    <cfRule type="expression" dxfId="63" priority="2068">
      <formula>$D14="1 - 2"</formula>
    </cfRule>
  </conditionalFormatting>
  <conditionalFormatting sqref="AG17:AI17 AI15:AI16">
    <cfRule type="expression" dxfId="62" priority="3304">
      <formula>OR($D15="3 - 4",$D15="5 - 6")</formula>
    </cfRule>
  </conditionalFormatting>
  <conditionalFormatting sqref="AG9:AK9 N7:R7 R8:S8 R11:R12">
    <cfRule type="expression" dxfId="61" priority="4392">
      <formula>OR($D7="3 - 4",$D7="5 - 6")</formula>
    </cfRule>
  </conditionalFormatting>
  <conditionalFormatting sqref="AG13:AK13 AI14:AK14">
    <cfRule type="expression" dxfId="60" priority="3219">
      <formula>OR($D13="3 - 4",$D13="5 - 6")</formula>
    </cfRule>
  </conditionalFormatting>
  <conditionalFormatting sqref="AH19:AH20">
    <cfRule type="expression" dxfId="59" priority="920">
      <formula>OR($D23="3 - 4",$D23="5 - 6")</formula>
    </cfRule>
    <cfRule type="expression" dxfId="58" priority="921">
      <formula>$D23="7 - 8"</formula>
    </cfRule>
    <cfRule type="expression" dxfId="57" priority="922">
      <formula>$D23="1 - 2"</formula>
    </cfRule>
  </conditionalFormatting>
  <conditionalFormatting sqref="AH19:AK20">
    <cfRule type="expression" dxfId="56" priority="924">
      <formula>$D19="7 - 8"</formula>
    </cfRule>
    <cfRule type="expression" dxfId="55" priority="923">
      <formula>OR($D19="3 - 4",$D19="5 - 6")</formula>
    </cfRule>
    <cfRule type="expression" dxfId="54" priority="925">
      <formula>$D19="1 - 2"</formula>
    </cfRule>
  </conditionalFormatting>
  <conditionalFormatting sqref="AI6 X6:X7 W6:W8 AC7:AD8 Q8 U8">
    <cfRule type="expression" dxfId="53" priority="1672">
      <formula>$D10="7 - 8"</formula>
    </cfRule>
    <cfRule type="expression" dxfId="52" priority="1673">
      <formula>$D10="1 - 2"</formula>
    </cfRule>
    <cfRule type="expression" dxfId="51" priority="1671">
      <formula>OR($D10="3 - 4",$D10="5 - 6")</formula>
    </cfRule>
  </conditionalFormatting>
  <conditionalFormatting sqref="AI9 AI21 AF17">
    <cfRule type="expression" dxfId="50" priority="3398">
      <formula>$D13="1 - 2"</formula>
    </cfRule>
    <cfRule type="expression" dxfId="49" priority="3397">
      <formula>$D13="7 - 8"</formula>
    </cfRule>
  </conditionalFormatting>
  <conditionalFormatting sqref="AI12">
    <cfRule type="expression" dxfId="48" priority="770">
      <formula>OR($D16="3 - 4",$D16="5 - 6")</formula>
    </cfRule>
    <cfRule type="expression" dxfId="47" priority="771">
      <formula>$D16="7 - 8"</formula>
    </cfRule>
    <cfRule type="expression" dxfId="46" priority="772">
      <formula>$D16="1 - 2"</formula>
    </cfRule>
  </conditionalFormatting>
  <conditionalFormatting sqref="AI13">
    <cfRule type="expression" dxfId="45" priority="3147">
      <formula>$D29="1 - 2"</formula>
    </cfRule>
    <cfRule type="expression" dxfId="44" priority="3146">
      <formula>$D29="7 - 8"</formula>
    </cfRule>
    <cfRule type="expression" dxfId="43" priority="3145">
      <formula>OR($D29="3 - 4",$D29="5 - 6")</formula>
    </cfRule>
    <cfRule type="expression" dxfId="42" priority="4655">
      <formula>$D25="1 - 2"</formula>
    </cfRule>
    <cfRule type="expression" dxfId="41" priority="4654">
      <formula>$D25="7 - 8"</formula>
    </cfRule>
    <cfRule type="expression" dxfId="40" priority="4653">
      <formula>OR($D25="3 - 4",$D25="5 - 6")</formula>
    </cfRule>
  </conditionalFormatting>
  <conditionalFormatting sqref="AI14:AI16 AG17:AI17">
    <cfRule type="expression" dxfId="39" priority="3306">
      <formula>$D14="1 - 2"</formula>
    </cfRule>
    <cfRule type="expression" dxfId="38" priority="3305">
      <formula>$D14="7 - 8"</formula>
    </cfRule>
  </conditionalFormatting>
  <conditionalFormatting sqref="AI17">
    <cfRule type="expression" dxfId="37" priority="3300">
      <formula>OR($D21="3 - 4",$D21="5 - 6")</formula>
    </cfRule>
    <cfRule type="expression" dxfId="36" priority="3302">
      <formula>$D21="1 - 2"</formula>
    </cfRule>
    <cfRule type="expression" dxfId="35" priority="3301">
      <formula>$D21="7 - 8"</formula>
    </cfRule>
  </conditionalFormatting>
  <conditionalFormatting sqref="AI21 AI9">
    <cfRule type="expression" dxfId="34" priority="3396">
      <formula>OR($D13="3 - 4",$D13="5 - 6")</formula>
    </cfRule>
  </conditionalFormatting>
  <conditionalFormatting sqref="AI26:AI27">
    <cfRule type="expression" dxfId="33" priority="3088">
      <formula>OR($D26="3 - 4",$D26="5 - 6")</formula>
    </cfRule>
    <cfRule type="expression" dxfId="32" priority="3090">
      <formula>$D26="1 - 2"</formula>
    </cfRule>
    <cfRule type="expression" dxfId="31" priority="3089">
      <formula>$D26="7 - 8"</formula>
    </cfRule>
  </conditionalFormatting>
  <conditionalFormatting sqref="AI30:AI32">
    <cfRule type="expression" dxfId="30" priority="2217">
      <formula>OR($D38="3 - 4",$D38="5 - 6")</formula>
    </cfRule>
    <cfRule type="expression" dxfId="29" priority="2219">
      <formula>$D38="1 - 2"</formula>
    </cfRule>
    <cfRule type="expression" dxfId="28" priority="2218">
      <formula>$D38="7 - 8"</formula>
    </cfRule>
    <cfRule type="expression" dxfId="27" priority="2215">
      <formula>$D26="1 - 2"</formula>
    </cfRule>
    <cfRule type="expression" dxfId="26" priority="2214">
      <formula>$D26="7 - 8"</formula>
    </cfRule>
    <cfRule type="expression" dxfId="25" priority="2213">
      <formula>OR($D26="3 - 4",$D26="5 - 6")</formula>
    </cfRule>
    <cfRule type="expression" dxfId="24" priority="2212">
      <formula>$D22="1 - 2"</formula>
    </cfRule>
    <cfRule type="expression" dxfId="23" priority="2211">
      <formula>$D22="7 - 8"</formula>
    </cfRule>
    <cfRule type="expression" dxfId="22" priority="2210">
      <formula>OR($D22="3 - 4",$D22="5 - 6")</formula>
    </cfRule>
  </conditionalFormatting>
  <conditionalFormatting sqref="AI38:AI39 AF40:AI40">
    <cfRule type="expression" dxfId="21" priority="3623">
      <formula>$D38="1 - 2"</formula>
    </cfRule>
    <cfRule type="expression" dxfId="20" priority="3622">
      <formula>$D38="7 - 8"</formula>
    </cfRule>
    <cfRule type="expression" dxfId="19" priority="3621">
      <formula>OR($D38="3 - 4",$D38="5 - 6")</formula>
    </cfRule>
  </conditionalFormatting>
  <conditionalFormatting sqref="AI6:AK6 X6:X7 T6:W8 AC7:AK8 L8:Q8">
    <cfRule type="expression" dxfId="18" priority="1674">
      <formula>OR($D6="3 - 4",$D6="5 - 6")</formula>
    </cfRule>
    <cfRule type="expression" dxfId="17" priority="1675">
      <formula>$D6="7 - 8"</formula>
    </cfRule>
    <cfRule type="expression" dxfId="16" priority="1676">
      <formula>$D6="1 - 2"</formula>
    </cfRule>
  </conditionalFormatting>
  <conditionalFormatting sqref="AI11:AK12">
    <cfRule type="expression" dxfId="15" priority="773">
      <formula>OR($D11="3 - 4",$D11="5 - 6")</formula>
    </cfRule>
    <cfRule type="expression" dxfId="14" priority="774">
      <formula>$D11="7 - 8"</formula>
    </cfRule>
    <cfRule type="expression" dxfId="13" priority="775">
      <formula>$D11="1 - 2"</formula>
    </cfRule>
  </conditionalFormatting>
  <conditionalFormatting sqref="AJ14:AK14">
    <cfRule type="expression" dxfId="12" priority="3221">
      <formula>$D14="1 - 2"</formula>
    </cfRule>
    <cfRule type="expression" dxfId="11" priority="3220">
      <formula>$D14="7 - 8"</formula>
    </cfRule>
  </conditionalFormatting>
  <conditionalFormatting sqref="AJ15:AK17">
    <cfRule type="expression" dxfId="10" priority="3203">
      <formula>$D15="1 - 2"</formula>
    </cfRule>
    <cfRule type="expression" dxfId="9" priority="3202">
      <formula>$D15="7 - 8"</formula>
    </cfRule>
    <cfRule type="expression" dxfId="8" priority="3201">
      <formula>OR($D15="3 - 4",$D15="5 - 6")</formula>
    </cfRule>
  </conditionalFormatting>
  <conditionalFormatting sqref="AJ25:AK32">
    <cfRule type="expression" dxfId="7" priority="3183">
      <formula>OR($D25="3 - 4",$D25="5 - 6")</formula>
    </cfRule>
  </conditionalFormatting>
  <conditionalFormatting sqref="AJ26:AK32">
    <cfRule type="expression" dxfId="6" priority="3433">
      <formula>$D26="7 - 8"</formula>
    </cfRule>
    <cfRule type="expression" dxfId="5" priority="3434">
      <formula>$D26="1 - 2"</formula>
    </cfRule>
  </conditionalFormatting>
  <conditionalFormatting sqref="AJ34:AK41 C42:AK89 AJ25">
    <cfRule type="expression" dxfId="4" priority="4635">
      <formula>$D25="1 - 2"</formula>
    </cfRule>
    <cfRule type="expression" dxfId="3" priority="4634">
      <formula>$D25="7 - 8"</formula>
    </cfRule>
  </conditionalFormatting>
  <conditionalFormatting sqref="AJ34:AK41 C42:AK89">
    <cfRule type="expression" dxfId="2" priority="4633">
      <formula>OR($D34="3 - 4",$D34="5 - 6")</formula>
    </cfRule>
  </conditionalFormatting>
  <conditionalFormatting sqref="AK23:AK25">
    <cfRule type="expression" dxfId="1" priority="3184">
      <formula>$D23="7 - 8"</formula>
    </cfRule>
    <cfRule type="expression" dxfId="0" priority="3185">
      <formula>$D23="1 - 2"</formula>
    </cfRule>
  </conditionalFormatting>
  <pageMargins left="0.78740157480314965" right="0.55118110236220474" top="0.55118110236220474" bottom="0.55118110236220474" header="0.11811023622047245" footer="0.19685039370078741"/>
  <pageSetup paperSize="8" orientation="landscape" r:id="rId1"/>
  <headerFooter>
    <oddFooter>&amp;C&amp;"Times New Roman,Regular"&amp;12&amp;P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QUÂN SỰ + QUỐC TẾ </vt:lpstr>
      <vt:lpstr>'QUÂN SỰ + QUỐC TẾ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Minh Hoàng Lương</cp:lastModifiedBy>
  <cp:lastPrinted>2026-03-23T07:56:55Z</cp:lastPrinted>
  <dcterms:created xsi:type="dcterms:W3CDTF">2025-07-29T03:10:31Z</dcterms:created>
  <dcterms:modified xsi:type="dcterms:W3CDTF">2026-04-06T13:12:08Z</dcterms:modified>
</cp:coreProperties>
</file>